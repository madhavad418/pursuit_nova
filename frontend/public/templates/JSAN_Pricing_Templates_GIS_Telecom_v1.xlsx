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dhavrao\Pictures\pursuit_nova\"/>
    </mc:Choice>
  </mc:AlternateContent>
  <xr:revisionPtr revIDLastSave="0" documentId="13_ncr:1_{53D506A1-513D-454D-A993-DC59F2E2F1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Assumptions" sheetId="2" r:id="rId2"/>
    <sheet name="Role_Rates" sheetId="3" r:id="rId3"/>
    <sheet name="DeskOps_Hourly" sheetId="4" r:id="rId4"/>
    <sheet name="DeskOps_FTE" sheetId="5" r:id="rId5"/>
    <sheet name="Telecom_Unit" sheetId="6" r:id="rId6"/>
    <sheet name="PLA_PerPole" sheetId="7" r:id="rId7"/>
    <sheet name="LiDAR_Feature" sheetId="8" r:id="rId8"/>
    <sheet name="GIS_Unit" sheetId="9" r:id="rId9"/>
    <sheet name="Field_Collection" sheetId="10" r:id="rId10"/>
    <sheet name="QA_QC" sheetId="11" r:id="rId11"/>
    <sheet name="Scenario_Compare" sheetId="12" r:id="rId12"/>
    <sheet name="Bid_Builder" sheetId="13" r:id="rId13"/>
    <sheet name="Customer_RateCard" sheetId="14" r:id="rId14"/>
    <sheet name="Dashboard" sheetId="15" r:id="rId15"/>
    <sheet name="Source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5" l="1"/>
  <c r="E7" i="12"/>
  <c r="F7" i="12" s="1"/>
  <c r="G7" i="12" s="1"/>
  <c r="J8" i="11"/>
  <c r="E8" i="11"/>
  <c r="J7" i="11"/>
  <c r="H7" i="11"/>
  <c r="E7" i="11"/>
  <c r="I7" i="11" s="1"/>
  <c r="K7" i="11" s="1"/>
  <c r="J6" i="11"/>
  <c r="E6" i="11"/>
  <c r="J5" i="11"/>
  <c r="H5" i="11"/>
  <c r="E5" i="11"/>
  <c r="I5" i="11" s="1"/>
  <c r="N9" i="10"/>
  <c r="O9" i="10" s="1"/>
  <c r="M9" i="10"/>
  <c r="L9" i="10"/>
  <c r="K9" i="10"/>
  <c r="J9" i="10"/>
  <c r="K8" i="10"/>
  <c r="J8" i="10"/>
  <c r="L8" i="10" s="1"/>
  <c r="N8" i="10" s="1"/>
  <c r="N7" i="10"/>
  <c r="O7" i="10" s="1"/>
  <c r="M7" i="10"/>
  <c r="L7" i="10"/>
  <c r="K7" i="10"/>
  <c r="J7" i="10"/>
  <c r="K6" i="10"/>
  <c r="J6" i="10"/>
  <c r="M6" i="10" s="1"/>
  <c r="N5" i="10"/>
  <c r="O5" i="10" s="1"/>
  <c r="M5" i="10"/>
  <c r="L5" i="10"/>
  <c r="K5" i="10"/>
  <c r="J5" i="10"/>
  <c r="K13" i="9"/>
  <c r="G13" i="9"/>
  <c r="J13" i="9" s="1"/>
  <c r="K12" i="9"/>
  <c r="K11" i="9"/>
  <c r="K10" i="9"/>
  <c r="K9" i="9"/>
  <c r="K8" i="9"/>
  <c r="K7" i="9"/>
  <c r="K6" i="9"/>
  <c r="K5" i="9"/>
  <c r="L12" i="8"/>
  <c r="K12" i="8"/>
  <c r="L11" i="8"/>
  <c r="K11" i="8"/>
  <c r="G11" i="8"/>
  <c r="L10" i="8"/>
  <c r="K10" i="8"/>
  <c r="G10" i="8"/>
  <c r="L9" i="8"/>
  <c r="K9" i="8"/>
  <c r="L8" i="8"/>
  <c r="K8" i="8"/>
  <c r="L7" i="8"/>
  <c r="K7" i="8"/>
  <c r="G7" i="8"/>
  <c r="L6" i="8"/>
  <c r="K6" i="8"/>
  <c r="G6" i="8"/>
  <c r="L5" i="8"/>
  <c r="K5" i="8"/>
  <c r="M8" i="7"/>
  <c r="L8" i="7"/>
  <c r="J8" i="7"/>
  <c r="M7" i="7"/>
  <c r="L7" i="7"/>
  <c r="J7" i="7"/>
  <c r="M6" i="7"/>
  <c r="L6" i="7"/>
  <c r="J6" i="7"/>
  <c r="H6" i="7"/>
  <c r="G6" i="7"/>
  <c r="M5" i="7"/>
  <c r="L5" i="7"/>
  <c r="J5" i="7"/>
  <c r="H5" i="7"/>
  <c r="L10" i="6"/>
  <c r="K10" i="6"/>
  <c r="L9" i="6"/>
  <c r="K9" i="6"/>
  <c r="L8" i="6"/>
  <c r="K8" i="6"/>
  <c r="L7" i="6"/>
  <c r="K7" i="6"/>
  <c r="L6" i="6"/>
  <c r="K6" i="6"/>
  <c r="L5" i="6"/>
  <c r="K5" i="6"/>
  <c r="D8" i="5"/>
  <c r="E8" i="5" s="1"/>
  <c r="E7" i="5"/>
  <c r="D7" i="5"/>
  <c r="D6" i="5"/>
  <c r="E6" i="5" s="1"/>
  <c r="E5" i="5"/>
  <c r="D5" i="5"/>
  <c r="H10" i="4"/>
  <c r="G10" i="4"/>
  <c r="H9" i="4"/>
  <c r="G9" i="4"/>
  <c r="G8" i="4"/>
  <c r="G7" i="4"/>
  <c r="G6" i="4"/>
  <c r="G5" i="4"/>
  <c r="E14" i="3"/>
  <c r="F14" i="3" s="1"/>
  <c r="G14" i="3" s="1"/>
  <c r="E13" i="3"/>
  <c r="F13" i="3" s="1"/>
  <c r="G13" i="3" s="1"/>
  <c r="F12" i="3"/>
  <c r="E12" i="3"/>
  <c r="F11" i="3"/>
  <c r="G11" i="3" s="1"/>
  <c r="I10" i="4" s="1"/>
  <c r="E11" i="3"/>
  <c r="E10" i="3"/>
  <c r="F10" i="3" s="1"/>
  <c r="E9" i="3"/>
  <c r="F9" i="3" s="1"/>
  <c r="F8" i="3"/>
  <c r="E8" i="3"/>
  <c r="F7" i="3"/>
  <c r="G11" i="9" s="1"/>
  <c r="J11" i="9" s="1"/>
  <c r="E7" i="3"/>
  <c r="E6" i="3"/>
  <c r="F6" i="3" s="1"/>
  <c r="E5" i="3"/>
  <c r="F5" i="3" s="1"/>
  <c r="H7" i="4" s="1"/>
  <c r="L11" i="9" l="1"/>
  <c r="N11" i="9" s="1"/>
  <c r="M11" i="9"/>
  <c r="J5" i="4"/>
  <c r="F5" i="5"/>
  <c r="H5" i="5" s="1"/>
  <c r="G5" i="5"/>
  <c r="M7" i="11"/>
  <c r="L7" i="11"/>
  <c r="F11" i="8"/>
  <c r="J11" i="8" s="1"/>
  <c r="F7" i="8"/>
  <c r="J7" i="8" s="1"/>
  <c r="G10" i="9"/>
  <c r="J10" i="9" s="1"/>
  <c r="F10" i="8"/>
  <c r="J10" i="8" s="1"/>
  <c r="F12" i="8"/>
  <c r="F8" i="8"/>
  <c r="F5" i="8"/>
  <c r="J5" i="8" s="1"/>
  <c r="F6" i="8"/>
  <c r="J6" i="8" s="1"/>
  <c r="F9" i="8"/>
  <c r="J9" i="8" s="1"/>
  <c r="G8" i="3"/>
  <c r="J7" i="4"/>
  <c r="F6" i="7"/>
  <c r="K6" i="7" s="1"/>
  <c r="F7" i="7"/>
  <c r="K7" i="7" s="1"/>
  <c r="N7" i="7" s="1"/>
  <c r="O7" i="7" s="1"/>
  <c r="P7" i="7" s="1"/>
  <c r="F5" i="7"/>
  <c r="K5" i="7" s="1"/>
  <c r="N5" i="7" s="1"/>
  <c r="O5" i="7" s="1"/>
  <c r="P5" i="7" s="1"/>
  <c r="F8" i="7"/>
  <c r="G10" i="3"/>
  <c r="H8" i="11"/>
  <c r="I8" i="11" s="1"/>
  <c r="K8" i="11" s="1"/>
  <c r="O8" i="10"/>
  <c r="G6" i="5"/>
  <c r="F6" i="5"/>
  <c r="H6" i="5" s="1"/>
  <c r="I6" i="5" s="1"/>
  <c r="G8" i="6"/>
  <c r="J8" i="6" s="1"/>
  <c r="G6" i="6"/>
  <c r="J6" i="6" s="1"/>
  <c r="G5" i="6"/>
  <c r="J5" i="6" s="1"/>
  <c r="G9" i="3"/>
  <c r="G7" i="5"/>
  <c r="F7" i="5"/>
  <c r="H7" i="5" s="1"/>
  <c r="I7" i="5" s="1"/>
  <c r="G8" i="5"/>
  <c r="F8" i="5"/>
  <c r="H8" i="5" s="1"/>
  <c r="I8" i="5" s="1"/>
  <c r="J8" i="4"/>
  <c r="K9" i="4"/>
  <c r="E18" i="13"/>
  <c r="G18" i="13" s="1"/>
  <c r="K5" i="11"/>
  <c r="G5" i="3"/>
  <c r="G5" i="7"/>
  <c r="G7" i="7"/>
  <c r="G7" i="6"/>
  <c r="J7" i="6" s="1"/>
  <c r="G8" i="7"/>
  <c r="G8" i="9"/>
  <c r="J8" i="9" s="1"/>
  <c r="G7" i="9"/>
  <c r="J7" i="9" s="1"/>
  <c r="G5" i="9"/>
  <c r="J5" i="9" s="1"/>
  <c r="G10" i="6"/>
  <c r="J10" i="6" s="1"/>
  <c r="H6" i="4"/>
  <c r="J6" i="4" s="1"/>
  <c r="E5" i="12"/>
  <c r="H5" i="4"/>
  <c r="G12" i="9"/>
  <c r="J12" i="9" s="1"/>
  <c r="G9" i="9"/>
  <c r="J9" i="9" s="1"/>
  <c r="H8" i="4"/>
  <c r="G6" i="3"/>
  <c r="I8" i="4" s="1"/>
  <c r="K8" i="4" s="1"/>
  <c r="G12" i="3"/>
  <c r="I5" i="4" s="1"/>
  <c r="K5" i="4" s="1"/>
  <c r="K10" i="4"/>
  <c r="J10" i="4"/>
  <c r="G6" i="9"/>
  <c r="J6" i="9" s="1"/>
  <c r="M13" i="9"/>
  <c r="L13" i="9"/>
  <c r="N13" i="9" s="1"/>
  <c r="O13" i="9" s="1"/>
  <c r="L6" i="10"/>
  <c r="G5" i="8"/>
  <c r="G9" i="8"/>
  <c r="J9" i="4"/>
  <c r="M8" i="10"/>
  <c r="K13" i="4"/>
  <c r="G9" i="6"/>
  <c r="J9" i="6" s="1"/>
  <c r="H8" i="7"/>
  <c r="G8" i="8"/>
  <c r="G12" i="8"/>
  <c r="H6" i="11"/>
  <c r="I6" i="11" s="1"/>
  <c r="K6" i="11" s="1"/>
  <c r="G7" i="3"/>
  <c r="I9" i="4" s="1"/>
  <c r="H7" i="7"/>
  <c r="L6" i="11" l="1"/>
  <c r="M6" i="11"/>
  <c r="J8" i="8"/>
  <c r="L8" i="9"/>
  <c r="N8" i="9" s="1"/>
  <c r="M8" i="9"/>
  <c r="M7" i="8"/>
  <c r="O7" i="8" s="1"/>
  <c r="P7" i="8" s="1"/>
  <c r="N7" i="8"/>
  <c r="N6" i="8"/>
  <c r="M6" i="8"/>
  <c r="O6" i="8" s="1"/>
  <c r="P6" i="8" s="1"/>
  <c r="E17" i="13"/>
  <c r="G17" i="13" s="1"/>
  <c r="M5" i="9"/>
  <c r="L5" i="9"/>
  <c r="M9" i="6"/>
  <c r="O9" i="6" s="1"/>
  <c r="N9" i="6"/>
  <c r="K8" i="7"/>
  <c r="N8" i="7" s="1"/>
  <c r="O8" i="7" s="1"/>
  <c r="P8" i="7" s="1"/>
  <c r="N7" i="6"/>
  <c r="M7" i="6"/>
  <c r="O7" i="6" s="1"/>
  <c r="P7" i="6" s="1"/>
  <c r="E15" i="13"/>
  <c r="G15" i="13" s="1"/>
  <c r="N6" i="7"/>
  <c r="M11" i="8"/>
  <c r="O11" i="8" s="1"/>
  <c r="N11" i="8"/>
  <c r="N10" i="6"/>
  <c r="M10" i="6"/>
  <c r="O10" i="6" s="1"/>
  <c r="P10" i="6" s="1"/>
  <c r="O11" i="9"/>
  <c r="L10" i="4"/>
  <c r="N10" i="4"/>
  <c r="O10" i="4" s="1"/>
  <c r="E6" i="12"/>
  <c r="F6" i="12" s="1"/>
  <c r="G6" i="12" s="1"/>
  <c r="F5" i="12"/>
  <c r="G5" i="12" s="1"/>
  <c r="N9" i="8"/>
  <c r="M9" i="8"/>
  <c r="O9" i="8" s="1"/>
  <c r="L9" i="4"/>
  <c r="N9" i="4" s="1"/>
  <c r="O9" i="4" s="1"/>
  <c r="K14" i="4"/>
  <c r="N5" i="8"/>
  <c r="M5" i="8"/>
  <c r="E16" i="13"/>
  <c r="G16" i="13" s="1"/>
  <c r="M6" i="9"/>
  <c r="L6" i="9"/>
  <c r="N6" i="9" s="1"/>
  <c r="O6" i="9" s="1"/>
  <c r="L8" i="11"/>
  <c r="M8" i="11"/>
  <c r="M7" i="9"/>
  <c r="L7" i="9"/>
  <c r="J12" i="8"/>
  <c r="N10" i="8"/>
  <c r="M10" i="8"/>
  <c r="O10" i="8" s="1"/>
  <c r="P10" i="8" s="1"/>
  <c r="L5" i="4"/>
  <c r="N5" i="4" s="1"/>
  <c r="M10" i="9"/>
  <c r="L10" i="9"/>
  <c r="N10" i="9" s="1"/>
  <c r="O10" i="9" s="1"/>
  <c r="L8" i="4"/>
  <c r="N8" i="4" s="1"/>
  <c r="O8" i="4" s="1"/>
  <c r="M5" i="6"/>
  <c r="O5" i="6" s="1"/>
  <c r="N5" i="6"/>
  <c r="M9" i="9"/>
  <c r="L9" i="9"/>
  <c r="N9" i="9" s="1"/>
  <c r="O9" i="9" s="1"/>
  <c r="E14" i="13"/>
  <c r="G14" i="13" s="1"/>
  <c r="N6" i="6"/>
  <c r="M6" i="6"/>
  <c r="M12" i="9"/>
  <c r="L12" i="9"/>
  <c r="N12" i="9" s="1"/>
  <c r="O12" i="9" s="1"/>
  <c r="C5" i="14"/>
  <c r="I7" i="4"/>
  <c r="K7" i="4" s="1"/>
  <c r="I6" i="4"/>
  <c r="K6" i="4" s="1"/>
  <c r="M8" i="6"/>
  <c r="O8" i="6" s="1"/>
  <c r="N8" i="6"/>
  <c r="I5" i="5"/>
  <c r="H12" i="5"/>
  <c r="C11" i="14"/>
  <c r="B15" i="15"/>
  <c r="N6" i="10"/>
  <c r="O6" i="10" s="1"/>
  <c r="M5" i="11"/>
  <c r="L5" i="11"/>
  <c r="H11" i="5"/>
  <c r="O5" i="4" l="1"/>
  <c r="L7" i="4"/>
  <c r="N7" i="4"/>
  <c r="O7" i="4" s="1"/>
  <c r="P9" i="6"/>
  <c r="F16" i="13"/>
  <c r="H16" i="13" s="1"/>
  <c r="J16" i="13" s="1"/>
  <c r="B13" i="15"/>
  <c r="C8" i="14"/>
  <c r="O5" i="8"/>
  <c r="P5" i="8" s="1"/>
  <c r="P11" i="8"/>
  <c r="F18" i="13"/>
  <c r="H18" i="13" s="1"/>
  <c r="J18" i="13" s="1"/>
  <c r="C12" i="14"/>
  <c r="B16" i="15"/>
  <c r="B11" i="15"/>
  <c r="F14" i="13"/>
  <c r="H14" i="13" s="1"/>
  <c r="J14" i="13" s="1"/>
  <c r="C6" i="14"/>
  <c r="O6" i="6"/>
  <c r="P6" i="6" s="1"/>
  <c r="I22" i="13"/>
  <c r="M12" i="8"/>
  <c r="O12" i="8" s="1"/>
  <c r="N12" i="8"/>
  <c r="F15" i="13"/>
  <c r="H15" i="13" s="1"/>
  <c r="J15" i="13" s="1"/>
  <c r="O6" i="7"/>
  <c r="P6" i="7" s="1"/>
  <c r="B12" i="15"/>
  <c r="C7" i="14"/>
  <c r="B14" i="15"/>
  <c r="F17" i="13"/>
  <c r="H17" i="13" s="1"/>
  <c r="J17" i="13" s="1"/>
  <c r="N5" i="9"/>
  <c r="O5" i="9" s="1"/>
  <c r="C9" i="14"/>
  <c r="C10" i="14"/>
  <c r="N7" i="9"/>
  <c r="O7" i="9" s="1"/>
  <c r="P9" i="8"/>
  <c r="P8" i="6"/>
  <c r="P5" i="6"/>
  <c r="O8" i="9"/>
  <c r="L6" i="4"/>
  <c r="N6" i="4" s="1"/>
  <c r="M8" i="8"/>
  <c r="O8" i="8" s="1"/>
  <c r="N8" i="8"/>
  <c r="O6" i="4" l="1"/>
  <c r="K15" i="4"/>
  <c r="B5" i="15" s="1"/>
  <c r="G15" i="15"/>
  <c r="K18" i="13"/>
  <c r="H15" i="15" s="1"/>
  <c r="G12" i="15"/>
  <c r="K15" i="13"/>
  <c r="H12" i="15" s="1"/>
  <c r="K17" i="13"/>
  <c r="H14" i="15" s="1"/>
  <c r="G14" i="15"/>
  <c r="P8" i="8"/>
  <c r="P12" i="8"/>
  <c r="I23" i="13"/>
  <c r="K14" i="13"/>
  <c r="H11" i="15" s="1"/>
  <c r="G11" i="15"/>
  <c r="G13" i="15"/>
  <c r="K16" i="13"/>
  <c r="H13" i="15" s="1"/>
  <c r="I24" i="13" l="1"/>
  <c r="I25" i="13"/>
  <c r="I26" i="13" l="1"/>
  <c r="B7" i="15" s="1"/>
  <c r="B6" i="15"/>
</calcChain>
</file>

<file path=xl/sharedStrings.xml><?xml version="1.0" encoding="utf-8"?>
<sst xmlns="http://schemas.openxmlformats.org/spreadsheetml/2006/main" count="594" uniqueCount="392">
  <si>
    <t>JSAN Pricing Templates – GIS, Telecom, PLA &amp; LiDAR</t>
  </si>
  <si>
    <t>Formula-driven commercial models for internal costing, rate-card design and customer quotations.</t>
  </si>
  <si>
    <t>How to use this workbook</t>
  </si>
  <si>
    <t>Step</t>
  </si>
  <si>
    <t>Section</t>
  </si>
  <si>
    <t>Purpose</t>
  </si>
  <si>
    <t>1</t>
  </si>
  <si>
    <t>Start with Assumptions</t>
  </si>
  <si>
    <t>Set target gross margin, overhead, QA, rework, contingency, PM, complexity and volume discounts.</t>
  </si>
  <si>
    <t>2</t>
  </si>
  <si>
    <t>Update Role_Rates</t>
  </si>
  <si>
    <t>Replace illustrative monthly costs/productive hours with JSAN actual internal costs.</t>
  </si>
  <si>
    <t>3</t>
  </si>
  <si>
    <t>Choose a pricing model</t>
  </si>
  <si>
    <t>Use Hourly, FTE, Per Pole, PLA, Per Feature, Per km / sq km / tile, or Field Collection.</t>
  </si>
  <si>
    <t>4</t>
  </si>
  <si>
    <t>Review Scenario_Compare</t>
  </si>
  <si>
    <t>Compare hourly vs unit vs FTE economics before selecting the commercial model.</t>
  </si>
  <si>
    <t>5</t>
  </si>
  <si>
    <t>Build the quote</t>
  </si>
  <si>
    <t>Use Bid_Builder for line items, discounts, contingency and final gross margin.</t>
  </si>
  <si>
    <t>6</t>
  </si>
  <si>
    <t>Share Customer_RateCard</t>
  </si>
  <si>
    <t>Customer-facing view hides internal costs and exposes only units and sell rates.</t>
  </si>
  <si>
    <t>Color</t>
  </si>
  <si>
    <t>Meaning</t>
  </si>
  <si>
    <t>Yellow</t>
  </si>
  <si>
    <t>Editable input / assumption</t>
  </si>
  <si>
    <t>Light blue</t>
  </si>
  <si>
    <t>Formula / calculated output</t>
  </si>
  <si>
    <t>Green</t>
  </si>
  <si>
    <t>Summary / recommended price</t>
  </si>
  <si>
    <t>Red</t>
  </si>
  <si>
    <t>Warning / risk</t>
  </si>
  <si>
    <t>All rates</t>
  </si>
  <si>
    <t>Illustrative examples only – replace with actual JSAN costs and customer-specific assumptions</t>
  </si>
  <si>
    <t>Margin formula</t>
  </si>
  <si>
    <t>Sell Price = Total Cost ÷ (1 – Target Gross Margin). This is gross margin, not markup.</t>
  </si>
  <si>
    <t>Global Pricing Assumptions</t>
  </si>
  <si>
    <t>Edit yellow cells; all model sheets reference these assumptions.</t>
  </si>
  <si>
    <t>Parameter</t>
  </si>
  <si>
    <t>Value</t>
  </si>
  <si>
    <t>Complexity</t>
  </si>
  <si>
    <t>Multiplier</t>
  </si>
  <si>
    <t>Volume Threshold</t>
  </si>
  <si>
    <t>Discount %</t>
  </si>
  <si>
    <t>Base reporting currency</t>
  </si>
  <si>
    <t>USD</t>
  </si>
  <si>
    <t>Simple</t>
  </si>
  <si>
    <t>Target Gross Margin</t>
  </si>
  <si>
    <t>Standard</t>
  </si>
  <si>
    <t>Corporate Overhead on Direct Labor</t>
  </si>
  <si>
    <t>Medium</t>
  </si>
  <si>
    <t>Default QA Effort %</t>
  </si>
  <si>
    <t>Complex</t>
  </si>
  <si>
    <t>Default Rework Buffer %</t>
  </si>
  <si>
    <t>PM / Coordination %</t>
  </si>
  <si>
    <t>Contingency %</t>
  </si>
  <si>
    <t>Rush Premium %</t>
  </si>
  <si>
    <t>Annual Escalation %</t>
  </si>
  <si>
    <t>Minimum Project Fee</t>
  </si>
  <si>
    <t>Standard Productive Hrs / Month</t>
  </si>
  <si>
    <t>Working Hrs / Day</t>
  </si>
  <si>
    <t>Volume discounts are commercial levers, not automatic recommendations. Validate against throughput, minimum commitment and customer risk.</t>
  </si>
  <si>
    <t>Role Cost &amp; Billing Rate Builder</t>
  </si>
  <si>
    <t>Illustrative starting point – replace monthly direct costs with current JSAN internal data.</t>
  </si>
  <si>
    <t>Role</t>
  </si>
  <si>
    <t>Delivery Location</t>
  </si>
  <si>
    <t>Monthly Direct Cost</t>
  </si>
  <si>
    <t>Productive Hrs/Mo</t>
  </si>
  <si>
    <t>Direct Cost/Hr</t>
  </si>
  <si>
    <t>Loaded Cost/Hr</t>
  </si>
  <si>
    <t>Suggested Sell/Hr</t>
  </si>
  <si>
    <t>Notes</t>
  </si>
  <si>
    <t>GIS Analyst</t>
  </si>
  <si>
    <t>India</t>
  </si>
  <si>
    <t>Digitization / data validation</t>
  </si>
  <si>
    <t>Senior GIS Analyst</t>
  </si>
  <si>
    <t>Complex GIS / conflation</t>
  </si>
  <si>
    <t>QA Analyst</t>
  </si>
  <si>
    <t>QC / audit</t>
  </si>
  <si>
    <t>LiDAR Analyst</t>
  </si>
  <si>
    <t>Point cloud / viewer extraction</t>
  </si>
  <si>
    <t>Telecom Designer</t>
  </si>
  <si>
    <t>Pole / make-ready design</t>
  </si>
  <si>
    <t>PLA Engineer</t>
  </si>
  <si>
    <t>Pole loading / engineering review</t>
  </si>
  <si>
    <t>Project Manager</t>
  </si>
  <si>
    <t>Governance / customer management</t>
  </si>
  <si>
    <t>Data Operator</t>
  </si>
  <si>
    <t>Desk operations</t>
  </si>
  <si>
    <t>Field Crew Lead</t>
  </si>
  <si>
    <t>Field</t>
  </si>
  <si>
    <t>Illustrative field cost</t>
  </si>
  <si>
    <t>Field Technician</t>
  </si>
  <si>
    <t>Desk Operations – Hourly / T&amp;M Pricing</t>
  </si>
  <si>
    <t>Use when scope is uncertain, exception-heavy, or customer wants transparent time-and-material billing.</t>
  </si>
  <si>
    <t>Activity</t>
  </si>
  <si>
    <t>Volume</t>
  </si>
  <si>
    <t>Minutes/Unit</t>
  </si>
  <si>
    <t>Manual Hrs</t>
  </si>
  <si>
    <t>Est. Hrs</t>
  </si>
  <si>
    <t>Cost/Hr</t>
  </si>
  <si>
    <t>Sell/Hr</t>
  </si>
  <si>
    <t>Internal Cost</t>
  </si>
  <si>
    <t>Base Revenue</t>
  </si>
  <si>
    <t>Contingency</t>
  </si>
  <si>
    <t>Rush?</t>
  </si>
  <si>
    <t>Quoted Revenue</t>
  </si>
  <si>
    <t>Gross Margin %</t>
  </si>
  <si>
    <t>Data ingestion / staging</t>
  </si>
  <si>
    <t>No</t>
  </si>
  <si>
    <t>Data validation / attribute review</t>
  </si>
  <si>
    <t>GIS digitization / edit</t>
  </si>
  <si>
    <t>Conflation / network correction</t>
  </si>
  <si>
    <t>QA sampling / audit</t>
  </si>
  <si>
    <t>Project coordination</t>
  </si>
  <si>
    <t>Model Summary</t>
  </si>
  <si>
    <t>Metric</t>
  </si>
  <si>
    <t>Total Hours</t>
  </si>
  <si>
    <t>Total Internal Cost</t>
  </si>
  <si>
    <t>Total Quoted Revenue</t>
  </si>
  <si>
    <t>Desk Operations – Dedicated FTE / Monthly Pricing</t>
  </si>
  <si>
    <t>Use for stable recurring work with predictable monthly demand and customer commitment.</t>
  </si>
  <si>
    <t>FTE Count</t>
  </si>
  <si>
    <t>Months</t>
  </si>
  <si>
    <t>Monthly Direct Cost/FTE</t>
  </si>
  <si>
    <t>Loaded Cost/FTE</t>
  </si>
  <si>
    <t>Sell Price/FTE/Month</t>
  </si>
  <si>
    <t>Total Cost</t>
  </si>
  <si>
    <t>Total Revenue</t>
  </si>
  <si>
    <t>Comments</t>
  </si>
  <si>
    <t>High-volume recurring desk ops</t>
  </si>
  <si>
    <t>Digitization / validation</t>
  </si>
  <si>
    <t>Quality gate</t>
  </si>
  <si>
    <t>Governance</t>
  </si>
  <si>
    <t>FTE Summary</t>
  </si>
  <si>
    <t>Telecom Operations – Unit Pricing</t>
  </si>
  <si>
    <t>Supports per pole, per application, per span and per inspection models.</t>
  </si>
  <si>
    <t>Unit</t>
  </si>
  <si>
    <t>Min/Unit</t>
  </si>
  <si>
    <t>Labor Cost/Unit</t>
  </si>
  <si>
    <t>Tool/Other/Unit</t>
  </si>
  <si>
    <t>QA %</t>
  </si>
  <si>
    <t>Cost/Unit</t>
  </si>
  <si>
    <t>Target Margin</t>
  </si>
  <si>
    <t>Volume Disc.</t>
  </si>
  <si>
    <t>Sell/Unit</t>
  </si>
  <si>
    <t>Application completeness review</t>
  </si>
  <si>
    <t>Application</t>
  </si>
  <si>
    <t>Permit intake / document review</t>
  </si>
  <si>
    <t>Desktop pole review</t>
  </si>
  <si>
    <t>Pole</t>
  </si>
  <si>
    <t>Existing GIS/photos/data</t>
  </si>
  <si>
    <t>Attachment inventory / tracing</t>
  </si>
  <si>
    <t>Owner/attachment continuity</t>
  </si>
  <si>
    <t>Make-ready design review</t>
  </si>
  <si>
    <t>Engineering/design check</t>
  </si>
  <si>
    <t>Post-construction inspection review</t>
  </si>
  <si>
    <t>As-built validation</t>
  </si>
  <si>
    <t>Closeout / GIS update</t>
  </si>
  <si>
    <t>System-of-record updates</t>
  </si>
  <si>
    <t>Pole Loading Analysis (PLA) – Per Pole Pricing</t>
  </si>
  <si>
    <t>Builds cost per pole by engineering, GIS and QA effort; suitable for simple/standard/complex pole tiers.</t>
  </si>
  <si>
    <t>Pole Class</t>
  </si>
  <si>
    <t>Engineer Min/Pole</t>
  </si>
  <si>
    <t>GIS Min/Pole</t>
  </si>
  <si>
    <t>QA Min/Pole</t>
  </si>
  <si>
    <t>Engineering Cost</t>
  </si>
  <si>
    <t>GIS Cost</t>
  </si>
  <si>
    <t>QA Cost</t>
  </si>
  <si>
    <t>Software/Tool Fee</t>
  </si>
  <si>
    <t>Total Cost/Pole</t>
  </si>
  <si>
    <t>Sell/Pole</t>
  </si>
  <si>
    <t>GM %</t>
  </si>
  <si>
    <t>Re-analysis / customer change</t>
  </si>
  <si>
    <t>LiDAR Viewer / Point Cloud Feature Extraction – Per Feature</t>
  </si>
  <si>
    <t>Use when deliverable is discrete asset or defect extraction from LiDAR, panoramas or point-cloud viewers.</t>
  </si>
  <si>
    <t>Feature Type</t>
  </si>
  <si>
    <t>Analyst Min/Feature</t>
  </si>
  <si>
    <t>QA Min/Feature</t>
  </si>
  <si>
    <t>Analyst Cost</t>
  </si>
  <si>
    <t>Viewer/Compute/Feature</t>
  </si>
  <si>
    <t>Rework %</t>
  </si>
  <si>
    <t>Cost/Feature</t>
  </si>
  <si>
    <t>Sell/Feature</t>
  </si>
  <si>
    <t>Typical Output</t>
  </si>
  <si>
    <t>Pole / support structure</t>
  </si>
  <si>
    <t>Point + attributes</t>
  </si>
  <si>
    <t>Transformer / cabinet</t>
  </si>
  <si>
    <t>Point + classification</t>
  </si>
  <si>
    <t>Crossarm / attachment</t>
  </si>
  <si>
    <t>Asset + association</t>
  </si>
  <si>
    <t>Wire / conductor segment</t>
  </si>
  <si>
    <t>Line / connectivity</t>
  </si>
  <si>
    <t>Traffic sign / road asset</t>
  </si>
  <si>
    <t>Guardrail / barrier</t>
  </si>
  <si>
    <t>Line</t>
  </si>
  <si>
    <t>Pavement defect / rut</t>
  </si>
  <si>
    <t>Feature + measurement</t>
  </si>
  <si>
    <t>Building footprint / edge</t>
  </si>
  <si>
    <t>Polygon / line</t>
  </si>
  <si>
    <t>GIS / Mapping Unit Pricing – Per Feature, Record, km, sq km, Tile</t>
  </si>
  <si>
    <t>Supports planimetrics, geocoding, POI/address processing, linear mapping, imagery/LiDAR area work and map production.</t>
  </si>
  <si>
    <t>Service</t>
  </si>
  <si>
    <t>Productivity Units/Hr</t>
  </si>
  <si>
    <t>Data/Tool/Unit</t>
  </si>
  <si>
    <t>POI verification / enrichment</t>
  </si>
  <si>
    <t>POI</t>
  </si>
  <si>
    <t>Point address verification</t>
  </si>
  <si>
    <t>Record</t>
  </si>
  <si>
    <t>Road / trail digitization</t>
  </si>
  <si>
    <t>km</t>
  </si>
  <si>
    <t>Building footprint extraction</t>
  </si>
  <si>
    <t>Feature</t>
  </si>
  <si>
    <t>Planimetric mapping</t>
  </si>
  <si>
    <t>sq km</t>
  </si>
  <si>
    <t>LiDAR classification / terrain QC</t>
  </si>
  <si>
    <t>Orthomosaic / imagery QC</t>
  </si>
  <si>
    <t>Panorama metadata validation</t>
  </si>
  <si>
    <t>Panorama</t>
  </si>
  <si>
    <t>Map tile QA / release</t>
  </si>
  <si>
    <t>Tile</t>
  </si>
  <si>
    <t>Field Collection Pricing – km / Mile / Pole / Site / Day</t>
  </si>
  <si>
    <t>Combines crew labor, vehicle/equipment, travel/per diem and back-office QA.</t>
  </si>
  <si>
    <t>Crew Hrs/Unit</t>
  </si>
  <si>
    <t>Crew Cost/Hr</t>
  </si>
  <si>
    <t>Vehicle+Equip/Unit</t>
  </si>
  <si>
    <t>Travel+Per Diem/Unit</t>
  </si>
  <si>
    <t>Desk QA/Unit</t>
  </si>
  <si>
    <t>Mobile mapping / street-view capture</t>
  </si>
  <si>
    <t>Adjust speed/traffic/crew</t>
  </si>
  <si>
    <t>Pole field survey</t>
  </si>
  <si>
    <t>Measurements/photos/GNSS</t>
  </si>
  <si>
    <t>Site verification</t>
  </si>
  <si>
    <t>Site</t>
  </si>
  <si>
    <t>POI / telecom / utility site</t>
  </si>
  <si>
    <t>Drone survey mobilization</t>
  </si>
  <si>
    <t>Day</t>
  </si>
  <si>
    <t>Excludes aviation permits</t>
  </si>
  <si>
    <t>Trail / road evidence collection</t>
  </si>
  <si>
    <t>Geo-tagged photos/video</t>
  </si>
  <si>
    <t>QA / QC Pricing Template</t>
  </si>
  <si>
    <t>Standalone or bundled QA pricing by sampling rate, audit effort and rework validation.</t>
  </si>
  <si>
    <t>QA Activity</t>
  </si>
  <si>
    <t>Production Volume</t>
  </si>
  <si>
    <t>Sample %</t>
  </si>
  <si>
    <t>Samples</t>
  </si>
  <si>
    <t>Min/Sample</t>
  </si>
  <si>
    <t>Sell Price</t>
  </si>
  <si>
    <t>Customer Unit Rate</t>
  </si>
  <si>
    <t>Sampling QA</t>
  </si>
  <si>
    <t>Routine statistical QA</t>
  </si>
  <si>
    <t>100% release QC</t>
  </si>
  <si>
    <t>Critical telecom release</t>
  </si>
  <si>
    <t>Rework verification</t>
  </si>
  <si>
    <t>Finding</t>
  </si>
  <si>
    <t>Customer/rework closure</t>
  </si>
  <si>
    <t>Engineering audit</t>
  </si>
  <si>
    <t>PLA Pole</t>
  </si>
  <si>
    <t>Complex pole sample</t>
  </si>
  <si>
    <t>Commercial Model Scenario Comparator</t>
  </si>
  <si>
    <t>Compare Hourly/T&amp;M, Per Unit and Dedicated FTE for the same scope.</t>
  </si>
  <si>
    <t>Input</t>
  </si>
  <si>
    <t>Model</t>
  </si>
  <si>
    <t>Customer Price</t>
  </si>
  <si>
    <t>Effective Unit Rate</t>
  </si>
  <si>
    <t>Comment</t>
  </si>
  <si>
    <t>Scope Volume</t>
  </si>
  <si>
    <t>Hourly / T&amp;M</t>
  </si>
  <si>
    <t>Best when scope/volume is uncertain</t>
  </si>
  <si>
    <t>Minutes per Unit</t>
  </si>
  <si>
    <t>Per Unit</t>
  </si>
  <si>
    <t>Best when output definition and QA are stable</t>
  </si>
  <si>
    <t>Primary Role</t>
  </si>
  <si>
    <t>Dedicated FTE</t>
  </si>
  <si>
    <t>Best for recurring committed volume</t>
  </si>
  <si>
    <t>Project Months</t>
  </si>
  <si>
    <t>FTE Utilization %</t>
  </si>
  <si>
    <t>Minimum Monthly Volume Commitment</t>
  </si>
  <si>
    <t>Decision guide: use unit pricing only when acceptance criteria are measurable and customer volume risk is understood. Use FTE when minimum monthly commitment protects utilization.</t>
  </si>
  <si>
    <t>Bid / Quote Builder</t>
  </si>
  <si>
    <t>Combine any workstream into one commercial quote. Yellow cells are customer/project inputs.</t>
  </si>
  <si>
    <t>Project / Customer</t>
  </si>
  <si>
    <t>Example Customer</t>
  </si>
  <si>
    <t>Currency</t>
  </si>
  <si>
    <t>Quote Validity (days)</t>
  </si>
  <si>
    <t>Commercial Discount %</t>
  </si>
  <si>
    <t>Project Contingency %</t>
  </si>
  <si>
    <t>Travel / One-time Cost</t>
  </si>
  <si>
    <t>Replace sample line items with selected model outputs.</t>
  </si>
  <si>
    <t>Workstream</t>
  </si>
  <si>
    <t>Description</t>
  </si>
  <si>
    <t>Qty</t>
  </si>
  <si>
    <t>Gross Cost</t>
  </si>
  <si>
    <t>Gross Revenue</t>
  </si>
  <si>
    <t>Line Discount %</t>
  </si>
  <si>
    <t>Net Revenue</t>
  </si>
  <si>
    <t>Source Model</t>
  </si>
  <si>
    <t>Telecom</t>
  </si>
  <si>
    <t>Telecom_Unit</t>
  </si>
  <si>
    <t>PLA</t>
  </si>
  <si>
    <t>Standard pole loading analysis</t>
  </si>
  <si>
    <t>PLA_PerPole</t>
  </si>
  <si>
    <t>LiDAR</t>
  </si>
  <si>
    <t>Pole extraction</t>
  </si>
  <si>
    <t>LiDAR_Feature</t>
  </si>
  <si>
    <t>GIS</t>
  </si>
  <si>
    <t>POI verification</t>
  </si>
  <si>
    <t>GIS_Unit</t>
  </si>
  <si>
    <t>QA</t>
  </si>
  <si>
    <t>QA_QC</t>
  </si>
  <si>
    <t>Summary</t>
  </si>
  <si>
    <t>Quote Discount</t>
  </si>
  <si>
    <t>Final Quote</t>
  </si>
  <si>
    <t>Overall Gross Margin</t>
  </si>
  <si>
    <t>Customer-Facing Rate Card</t>
  </si>
  <si>
    <t>Use this sheet externally; internal cost columns are intentionally excluded.</t>
  </si>
  <si>
    <t>Indicative Sell Rate</t>
  </si>
  <si>
    <t>Volume Basis</t>
  </si>
  <si>
    <t>Commercial Notes</t>
  </si>
  <si>
    <t>Internal Source</t>
  </si>
  <si>
    <t>GIS Analyst – T&amp;M</t>
  </si>
  <si>
    <t>Hour</t>
  </si>
  <si>
    <t>As requested</t>
  </si>
  <si>
    <t>Minimum 4-hour block</t>
  </si>
  <si>
    <t>Role_Rates</t>
  </si>
  <si>
    <t>Desktop Pole Review</t>
  </si>
  <si>
    <t>2500 poles</t>
  </si>
  <si>
    <t>Volume-tier pricing</t>
  </si>
  <si>
    <t>PLA – Standard Pole</t>
  </si>
  <si>
    <t>1500 poles</t>
  </si>
  <si>
    <t>Complexity dependent</t>
  </si>
  <si>
    <t>LiDAR Pole Extraction</t>
  </si>
  <si>
    <t>3000 features</t>
  </si>
  <si>
    <t>Feature definition required</t>
  </si>
  <si>
    <t>POI Verification</t>
  </si>
  <si>
    <t>5000 POIs</t>
  </si>
  <si>
    <t>Evidence/source rules required</t>
  </si>
  <si>
    <t>Road / Trail Digitization</t>
  </si>
  <si>
    <t>1200 km</t>
  </si>
  <si>
    <t>Complexity/imagery dependent</t>
  </si>
  <si>
    <t>Field Pole Survey</t>
  </si>
  <si>
    <t>Travel/location excluded unless stated</t>
  </si>
  <si>
    <t>Field_Collection</t>
  </si>
  <si>
    <t>QA Sampling</t>
  </si>
  <si>
    <t>Production Unit</t>
  </si>
  <si>
    <t>10% sample</t>
  </si>
  <si>
    <t>Sampling plan to be agreed</t>
  </si>
  <si>
    <t>Pricing Dashboard</t>
  </si>
  <si>
    <t>Portfolio-level view of example sell rates, total bid value and gross margin.</t>
  </si>
  <si>
    <t>KPI</t>
  </si>
  <si>
    <t>DeskOps Hourly Quote</t>
  </si>
  <si>
    <t>Current Bid Builder Quote</t>
  </si>
  <si>
    <t>Current Bid Builder GM</t>
  </si>
  <si>
    <t>Sell Rate</t>
  </si>
  <si>
    <t>Example Volume</t>
  </si>
  <si>
    <t>Line Item</t>
  </si>
  <si>
    <t>Telecom Desktop Pole</t>
  </si>
  <si>
    <t>PLA Standard</t>
  </si>
  <si>
    <t>LiDAR Pole Feature</t>
  </si>
  <si>
    <t>GIS POI</t>
  </si>
  <si>
    <t>Research Sources &amp; Pricing-Structure References</t>
  </si>
  <si>
    <t>These sources support the use of hourly, per-pole, per-area and other unit-pricing structures. Public rates are examples only, not JSAN recommended prices.</t>
  </si>
  <si>
    <t>Source</t>
  </si>
  <si>
    <t>Pricing Structure Observed</t>
  </si>
  <si>
    <t>Why It Matters</t>
  </si>
  <si>
    <t>URL</t>
  </si>
  <si>
    <t>NYSEG / RG&amp;E Make-Ready Engineering Unit Pricing</t>
  </si>
  <si>
    <t>Per pole</t>
  </si>
  <si>
    <t>Confirms per-pole application/engineering/inspection pricing is a common telecom utility commercial structure.</t>
  </si>
  <si>
    <t>https://www.rge.com/documents/40137/2123693/Pole%2BAttachment%2BPricing%2BForm%2BEff%2BFeb%2B2024_01.02.24.pdf/574fdc43-b082-d54b-2417-e834eb832538?t=1704400769485</t>
  </si>
  <si>
    <t>New York utility Make-Ready Unit Cost Schedule</t>
  </si>
  <si>
    <t>Per application and per pole, with volume tiers</t>
  </si>
  <si>
    <t>Shows tiered per-pole survey/inspection pricing and unit-cost schedules.</t>
  </si>
  <si>
    <t>https://documents.dps.ny.gov/public/Common/ViewDoc.aspx?DocRefId=%7B604B5697-0000-C76E-9317-F31B9A7A3895%7D&amp;DocTitle=Pole+Attach+fees+and+charges</t>
  </si>
  <si>
    <t>CPS Energy Pole Attachment Unit Pricing</t>
  </si>
  <si>
    <t>Per pole + time &amp; expense</t>
  </si>
  <si>
    <t>Shows PLA/application/design/inspection/closeout can be separately priced per pole.</t>
  </si>
  <si>
    <t>https://www.cpsenergy.com/content/dam/corporate/en/Documents/PoleAttachments/2017%20Pole%20Attachment%20Unit%20Pricing_effective%201Jan17.pdf</t>
  </si>
  <si>
    <t>USACE Mapping Manual</t>
  </si>
  <si>
    <t>Hourly/Daily and cost per unit area</t>
  </si>
  <si>
    <t>Supports hourly and area-based photogrammetry/mapping fee schedules.</t>
  </si>
  <si>
    <t>https://manualzz.com/doc/14104742/usace-mapping-manual</t>
  </si>
  <si>
    <t>Maricopa County Aerial Imagery Contract</t>
  </si>
  <si>
    <t>Per square mile</t>
  </si>
  <si>
    <t>Illustrates planimetrics, LiDAR, street-level imagery and QC priced per sq mile.</t>
  </si>
  <si>
    <t>https://poliscopic.com/documents/39618</t>
  </si>
  <si>
    <t>TCIL Tender – Survey &amp; Data Processing</t>
  </si>
  <si>
    <t>Per sq km and lump sum</t>
  </si>
  <si>
    <t>Shows UAV LiDAR/optical survey charged per sq km and Web GIS implementation as lump sum.</t>
  </si>
  <si>
    <t>https://www.tcil.net.in/tender/pdf/corr_25f2577.pdf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</si>
</sst>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$#,##0.00"/>
    <numFmt numFmtId="166" formatCode="0.0"/>
    <numFmt numFmtId="167" formatCode="0.00\x"/>
  </numFmts>
  <fonts count="9">
    <font>
      <sz val="11"/>
      <name val="Carlito"/>
    </font>
    <font>
      <b/>
      <sz val="16"/>
      <color rgb="FFFFFFFF"/>
      <name val="Carlito"/>
    </font>
    <font>
      <i/>
      <sz val="9"/>
      <color rgb="FF667784"/>
      <name val="Carlito"/>
    </font>
    <font>
      <b/>
      <sz val="12"/>
      <color rgb="FFFFFFFF"/>
      <name val="Carlito"/>
    </font>
    <font>
      <b/>
      <sz val="9"/>
      <color rgb="FFFFFFFF"/>
      <name val="Carlito"/>
    </font>
    <font>
      <sz val="11"/>
      <color rgb="FF1F2933"/>
      <name val="Carlito"/>
    </font>
    <font>
      <i/>
      <sz val="8"/>
      <color rgb="FF667784"/>
      <name val="Carlito"/>
    </font>
    <font>
      <b/>
      <sz val="11"/>
      <color rgb="FFFFFFFF"/>
      <name val="Carlito"/>
    </font>
    <font>
      <b/>
      <sz val="11"/>
      <color rgb="FF1F2933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B2D45"/>
      </patternFill>
    </fill>
    <fill>
      <patternFill patternType="solid">
        <fgColor rgb="FF13A5A1"/>
      </patternFill>
    </fill>
    <fill>
      <patternFill patternType="solid">
        <fgColor rgb="FF0879B9"/>
      </patternFill>
    </fill>
    <fill>
      <patternFill patternType="solid">
        <fgColor rgb="FFFFF4CC"/>
      </patternFill>
    </fill>
    <fill>
      <patternFill patternType="solid">
        <fgColor rgb="FFF3F8FB"/>
      </patternFill>
    </fill>
    <fill>
      <patternFill patternType="solid">
        <fgColor rgb="FFEAF7F0"/>
      </patternFill>
    </fill>
    <fill>
      <patternFill patternType="solid">
        <fgColor rgb="FFFD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5" fillId="5" borderId="0" xfId="0" applyFont="1" applyFill="1" applyAlignment="1">
      <alignment vertical="center"/>
    </xf>
    <xf numFmtId="167" fontId="5" fillId="5" borderId="0" xfId="0" applyNumberFormat="1" applyFont="1" applyFill="1" applyAlignment="1">
      <alignment vertical="center"/>
    </xf>
    <xf numFmtId="164" fontId="5" fillId="5" borderId="0" xfId="0" applyNumberFormat="1" applyFont="1" applyFill="1" applyAlignment="1">
      <alignment vertical="center"/>
    </xf>
    <xf numFmtId="165" fontId="5" fillId="5" borderId="0" xfId="0" applyNumberFormat="1" applyFont="1" applyFill="1" applyAlignment="1">
      <alignment vertical="center"/>
    </xf>
    <xf numFmtId="166" fontId="5" fillId="5" borderId="0" xfId="0" applyNumberFormat="1" applyFont="1" applyFill="1" applyAlignment="1">
      <alignment vertical="center"/>
    </xf>
    <xf numFmtId="0" fontId="6" fillId="0" borderId="0" xfId="0" applyFont="1" applyAlignment="1">
      <alignment vertical="center" wrapText="1"/>
    </xf>
    <xf numFmtId="165" fontId="0" fillId="6" borderId="0" xfId="0" applyNumberFormat="1" applyFill="1" applyAlignment="1">
      <alignment vertical="center"/>
    </xf>
    <xf numFmtId="0" fontId="0" fillId="6" borderId="0" xfId="0" applyFill="1" applyAlignment="1">
      <alignment vertical="center"/>
    </xf>
    <xf numFmtId="165" fontId="5" fillId="6" borderId="0" xfId="0" applyNumberFormat="1" applyFont="1" applyFill="1" applyAlignment="1">
      <alignment vertical="center"/>
    </xf>
    <xf numFmtId="164" fontId="0" fillId="6" borderId="0" xfId="0" applyNumberFormat="1" applyFill="1" applyAlignment="1">
      <alignment vertical="center"/>
    </xf>
    <xf numFmtId="0" fontId="8" fillId="7" borderId="0" xfId="0" applyFont="1" applyFill="1" applyAlignment="1">
      <alignment vertical="center"/>
    </xf>
    <xf numFmtId="165" fontId="0" fillId="0" borderId="0" xfId="0" applyNumberFormat="1" applyAlignment="1">
      <alignment vertical="center"/>
    </xf>
    <xf numFmtId="165" fontId="8" fillId="7" borderId="0" xfId="0" applyNumberFormat="1" applyFont="1" applyFill="1" applyAlignment="1">
      <alignment vertical="center"/>
    </xf>
    <xf numFmtId="164" fontId="5" fillId="6" borderId="0" xfId="0" applyNumberFormat="1" applyFont="1" applyFill="1" applyAlignment="1">
      <alignment vertical="center"/>
    </xf>
    <xf numFmtId="0" fontId="5" fillId="6" borderId="0" xfId="0" applyFont="1" applyFill="1" applyAlignment="1">
      <alignment vertical="center"/>
    </xf>
    <xf numFmtId="1" fontId="5" fillId="5" borderId="0" xfId="0" applyNumberFormat="1" applyFont="1" applyFill="1" applyAlignment="1">
      <alignment vertical="center"/>
    </xf>
    <xf numFmtId="164" fontId="8" fillId="7" borderId="0" xfId="0" applyNumberFormat="1" applyFont="1" applyFill="1" applyAlignment="1">
      <alignment vertical="center"/>
    </xf>
    <xf numFmtId="164" fontId="0" fillId="0" borderId="0" xfId="0" applyNumberForma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3" fillId="3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7" fillId="3" borderId="0" xfId="0" applyFont="1" applyFill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Illustrative Sell Rate by Workstream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Sell Rate</c:v>
          </c:tx>
          <c:invertIfNegative val="1"/>
          <c:cat>
            <c:strRef>
              <c:f>Dashboard!$A$11:$A$16</c:f>
              <c:strCache>
                <c:ptCount val="6"/>
                <c:pt idx="0">
                  <c:v>Telecom Desktop Pole</c:v>
                </c:pt>
                <c:pt idx="1">
                  <c:v>PLA Standard</c:v>
                </c:pt>
                <c:pt idx="2">
                  <c:v>LiDAR Pole Feature</c:v>
                </c:pt>
                <c:pt idx="3">
                  <c:v>GIS POI</c:v>
                </c:pt>
                <c:pt idx="4">
                  <c:v>Field Pole Survey</c:v>
                </c:pt>
                <c:pt idx="5">
                  <c:v>QA Sampling</c:v>
                </c:pt>
              </c:strCache>
            </c:strRef>
          </c:cat>
          <c:val>
            <c:numRef>
              <c:f>Dashboard!$B$11:$B$16</c:f>
              <c:numCache>
                <c:formatCode>\$#,##0.00</c:formatCode>
                <c:ptCount val="6"/>
                <c:pt idx="0">
                  <c:v>2.295072115384615</c:v>
                </c:pt>
                <c:pt idx="1">
                  <c:v>12.416072542735039</c:v>
                </c:pt>
                <c:pt idx="2">
                  <c:v>0.55273131410256415</c:v>
                </c:pt>
                <c:pt idx="3">
                  <c:v>0.71769230769230774</c:v>
                </c:pt>
                <c:pt idx="4">
                  <c:v>7.7538461538461547</c:v>
                </c:pt>
                <c:pt idx="5">
                  <c:v>2.2692307692307692E-2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C-48CD-8531-5DDF1F5BF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Current Quote Revenue Mix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Net Revenue</c:v>
          </c:tx>
          <c:invertIfNegative val="1"/>
          <c:cat>
            <c:strRef>
              <c:f>Dashboard!$F$11:$F$15</c:f>
              <c:strCache>
                <c:ptCount val="5"/>
                <c:pt idx="0">
                  <c:v>Telecom</c:v>
                </c:pt>
                <c:pt idx="1">
                  <c:v>PLA</c:v>
                </c:pt>
                <c:pt idx="2">
                  <c:v>LiDAR</c:v>
                </c:pt>
                <c:pt idx="3">
                  <c:v>GIS</c:v>
                </c:pt>
                <c:pt idx="4">
                  <c:v>QA</c:v>
                </c:pt>
              </c:strCache>
            </c:strRef>
          </c:cat>
          <c:val>
            <c:numRef>
              <c:f>Dashboard!$G$11:$G$15</c:f>
              <c:numCache>
                <c:formatCode>\$#,##0.00</c:formatCode>
                <c:ptCount val="5"/>
                <c:pt idx="0">
                  <c:v>5737.6802884615372</c:v>
                </c:pt>
                <c:pt idx="1">
                  <c:v>18624.108814102558</c:v>
                </c:pt>
                <c:pt idx="2">
                  <c:v>1658.1939423076924</c:v>
                </c:pt>
                <c:pt idx="3">
                  <c:v>3588.4615384615386</c:v>
                </c:pt>
                <c:pt idx="4">
                  <c:v>226.92307692307693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9-49B1-8CA5-A2154C45E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0</xdr:colOff>
      <xdr:row>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16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tabSelected="1" workbookViewId="0">
      <selection sqref="A1:H1"/>
    </sheetView>
  </sheetViews>
  <sheetFormatPr defaultRowHeight="13.8"/>
  <cols>
    <col min="1" max="1" width="12" customWidth="1"/>
    <col min="2" max="2" width="28" customWidth="1"/>
    <col min="3" max="3" width="70" customWidth="1"/>
  </cols>
  <sheetData>
    <row r="1" spans="1:17" ht="15.3" customHeight="1">
      <c r="A1" s="28" t="s">
        <v>0</v>
      </c>
      <c r="B1" s="29"/>
      <c r="C1" s="29"/>
      <c r="D1" s="29"/>
      <c r="E1" s="29"/>
      <c r="F1" s="29"/>
      <c r="G1" s="29"/>
      <c r="H1" s="29"/>
      <c r="I1" s="2"/>
      <c r="J1" s="2"/>
      <c r="K1" s="2"/>
      <c r="L1" s="2"/>
      <c r="M1" s="2"/>
      <c r="N1" s="2"/>
      <c r="O1" s="2"/>
      <c r="P1" s="2"/>
      <c r="Q1" s="2"/>
    </row>
    <row r="2" spans="1:17" ht="12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2" customHeight="1">
      <c r="A3" s="30" t="s">
        <v>2</v>
      </c>
      <c r="B3" s="29"/>
      <c r="C3" s="29"/>
      <c r="D3" s="29"/>
      <c r="E3" s="29"/>
      <c r="F3" s="29"/>
      <c r="G3" s="29"/>
      <c r="H3" s="29"/>
      <c r="I3" s="2"/>
      <c r="J3" s="2"/>
      <c r="K3" s="2"/>
      <c r="L3" s="2"/>
      <c r="M3" s="2"/>
      <c r="N3" s="2"/>
      <c r="O3" s="2"/>
      <c r="P3" s="2"/>
      <c r="Q3" s="2"/>
    </row>
    <row r="4" spans="1:17" ht="12" customHeight="1">
      <c r="A4" s="1" t="s">
        <v>3</v>
      </c>
      <c r="B4" s="1" t="s">
        <v>4</v>
      </c>
      <c r="C4" s="1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26.75" customHeight="1">
      <c r="A5" s="4" t="s">
        <v>6</v>
      </c>
      <c r="B5" s="5" t="s">
        <v>7</v>
      </c>
      <c r="C5" s="5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05.6" customHeight="1">
      <c r="A6" s="4" t="s">
        <v>9</v>
      </c>
      <c r="B6" s="5" t="s">
        <v>10</v>
      </c>
      <c r="C6" s="5" t="s">
        <v>11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16.1" customHeight="1">
      <c r="A7" s="4" t="s">
        <v>12</v>
      </c>
      <c r="B7" s="5" t="s">
        <v>13</v>
      </c>
      <c r="C7" s="5" t="s">
        <v>14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05.6" customHeight="1">
      <c r="A8" s="4" t="s">
        <v>15</v>
      </c>
      <c r="B8" s="5" t="s">
        <v>16</v>
      </c>
      <c r="C8" s="5" t="s">
        <v>17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95.1" customHeight="1">
      <c r="A9" s="4" t="s">
        <v>18</v>
      </c>
      <c r="B9" s="5" t="s">
        <v>19</v>
      </c>
      <c r="C9" s="5" t="s">
        <v>20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95.1" customHeight="1">
      <c r="A10" s="4" t="s">
        <v>21</v>
      </c>
      <c r="B10" s="5" t="s">
        <v>22</v>
      </c>
      <c r="C10" s="5" t="s">
        <v>23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12" customHeight="1">
      <c r="A12" s="1" t="s">
        <v>24</v>
      </c>
      <c r="B12" s="1" t="s">
        <v>25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42.15" customHeight="1">
      <c r="A13" s="6" t="s">
        <v>26</v>
      </c>
      <c r="B13" s="5" t="s">
        <v>27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31.65" customHeight="1">
      <c r="A14" s="7" t="s">
        <v>28</v>
      </c>
      <c r="B14" s="5" t="s">
        <v>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42.15" customHeight="1">
      <c r="A15" s="8" t="s">
        <v>30</v>
      </c>
      <c r="B15" s="5" t="s">
        <v>31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21.15" customHeight="1">
      <c r="A16" s="9" t="s">
        <v>32</v>
      </c>
      <c r="B16" s="5" t="s">
        <v>33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26.75" customHeight="1">
      <c r="A17" s="5" t="s">
        <v>34</v>
      </c>
      <c r="B17" s="5" t="s">
        <v>35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16.1" customHeight="1">
      <c r="A18" s="5" t="s">
        <v>36</v>
      </c>
      <c r="B18" s="5" t="s">
        <v>37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mergeCells count="2">
    <mergeCell ref="A1:H1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0"/>
  <sheetViews>
    <sheetView workbookViewId="0"/>
  </sheetViews>
  <sheetFormatPr defaultRowHeight="13.8"/>
  <cols>
    <col min="1" max="1" width="36" customWidth="1"/>
    <col min="2" max="2" width="22" customWidth="1"/>
    <col min="4" max="4" width="18" customWidth="1"/>
    <col min="5" max="5" width="14" customWidth="1"/>
    <col min="7" max="7" width="18" customWidth="1"/>
    <col min="8" max="8" width="14" customWidth="1"/>
  </cols>
  <sheetData>
    <row r="1" spans="1:17" ht="22.35" customHeight="1">
      <c r="A1" s="28" t="s">
        <v>38</v>
      </c>
      <c r="B1" s="29"/>
      <c r="C1" s="29"/>
      <c r="D1" s="29"/>
      <c r="E1" s="29"/>
      <c r="F1" s="29"/>
      <c r="G1" s="29"/>
      <c r="H1" s="29"/>
      <c r="I1" s="2"/>
      <c r="J1" s="2"/>
      <c r="K1" s="2"/>
      <c r="L1" s="2"/>
      <c r="M1" s="2"/>
      <c r="N1" s="2"/>
      <c r="O1" s="2"/>
      <c r="P1" s="2"/>
      <c r="Q1" s="2"/>
    </row>
    <row r="2" spans="1:17">
      <c r="A2" s="3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24" customHeight="1">
      <c r="A4" s="1" t="s">
        <v>40</v>
      </c>
      <c r="B4" s="1" t="s">
        <v>41</v>
      </c>
      <c r="C4" s="2"/>
      <c r="D4" s="1" t="s">
        <v>42</v>
      </c>
      <c r="E4" s="1" t="s">
        <v>43</v>
      </c>
      <c r="F4" s="2"/>
      <c r="G4" s="1" t="s">
        <v>44</v>
      </c>
      <c r="H4" s="1" t="s">
        <v>45</v>
      </c>
      <c r="I4" s="2"/>
      <c r="J4" s="2"/>
      <c r="K4" s="2"/>
      <c r="L4" s="2"/>
      <c r="M4" s="2"/>
      <c r="N4" s="2"/>
      <c r="O4" s="2"/>
      <c r="P4" s="2"/>
      <c r="Q4" s="2"/>
    </row>
    <row r="5" spans="1:17">
      <c r="A5" s="2" t="s">
        <v>46</v>
      </c>
      <c r="B5" s="10" t="s">
        <v>47</v>
      </c>
      <c r="C5" s="2"/>
      <c r="D5" s="2" t="s">
        <v>48</v>
      </c>
      <c r="E5" s="11">
        <v>0.85</v>
      </c>
      <c r="F5" s="2"/>
      <c r="G5" s="10">
        <v>0</v>
      </c>
      <c r="H5" s="12">
        <v>0</v>
      </c>
      <c r="I5" s="2"/>
      <c r="J5" s="2"/>
      <c r="K5" s="2"/>
      <c r="L5" s="2"/>
      <c r="M5" s="2"/>
      <c r="N5" s="2"/>
      <c r="O5" s="2"/>
      <c r="P5" s="2"/>
      <c r="Q5" s="2"/>
    </row>
    <row r="6" spans="1:17">
      <c r="A6" s="2" t="s">
        <v>49</v>
      </c>
      <c r="B6" s="12">
        <v>0.35</v>
      </c>
      <c r="C6" s="2"/>
      <c r="D6" s="2" t="s">
        <v>50</v>
      </c>
      <c r="E6" s="11">
        <v>1</v>
      </c>
      <c r="F6" s="2"/>
      <c r="G6" s="10">
        <v>500</v>
      </c>
      <c r="H6" s="12">
        <v>0.03</v>
      </c>
      <c r="I6" s="2"/>
      <c r="J6" s="2"/>
      <c r="K6" s="2"/>
      <c r="L6" s="2"/>
      <c r="M6" s="2"/>
      <c r="N6" s="2"/>
      <c r="O6" s="2"/>
      <c r="P6" s="2"/>
      <c r="Q6" s="2"/>
    </row>
    <row r="7" spans="1:17">
      <c r="A7" s="2" t="s">
        <v>51</v>
      </c>
      <c r="B7" s="12">
        <v>0.18</v>
      </c>
      <c r="C7" s="2"/>
      <c r="D7" s="2" t="s">
        <v>52</v>
      </c>
      <c r="E7" s="11">
        <v>1.25</v>
      </c>
      <c r="F7" s="2"/>
      <c r="G7" s="10">
        <v>2000</v>
      </c>
      <c r="H7" s="12">
        <v>0.05</v>
      </c>
      <c r="I7" s="2"/>
      <c r="J7" s="2"/>
      <c r="K7" s="2"/>
      <c r="L7" s="2"/>
      <c r="M7" s="2"/>
      <c r="N7" s="2"/>
      <c r="O7" s="2"/>
      <c r="P7" s="2"/>
      <c r="Q7" s="2"/>
    </row>
    <row r="8" spans="1:17">
      <c r="A8" s="2" t="s">
        <v>53</v>
      </c>
      <c r="B8" s="12">
        <v>0.15</v>
      </c>
      <c r="C8" s="2"/>
      <c r="D8" s="2" t="s">
        <v>54</v>
      </c>
      <c r="E8" s="11">
        <v>1.6</v>
      </c>
      <c r="F8" s="2"/>
      <c r="G8" s="10">
        <v>5000</v>
      </c>
      <c r="H8" s="12">
        <v>0.08</v>
      </c>
      <c r="I8" s="2"/>
      <c r="J8" s="2"/>
      <c r="K8" s="2"/>
      <c r="L8" s="2"/>
      <c r="M8" s="2"/>
      <c r="N8" s="2"/>
      <c r="O8" s="2"/>
      <c r="P8" s="2"/>
      <c r="Q8" s="2"/>
    </row>
    <row r="9" spans="1:17">
      <c r="A9" s="2" t="s">
        <v>55</v>
      </c>
      <c r="B9" s="12">
        <v>0.05</v>
      </c>
      <c r="C9" s="2"/>
      <c r="D9" s="2"/>
      <c r="E9" s="2"/>
      <c r="F9" s="2"/>
      <c r="G9" s="10">
        <v>10000</v>
      </c>
      <c r="H9" s="12">
        <v>0.1</v>
      </c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 t="s">
        <v>56</v>
      </c>
      <c r="B10" s="12">
        <v>0.08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 t="s">
        <v>57</v>
      </c>
      <c r="B11" s="12">
        <v>0.05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 t="s">
        <v>58</v>
      </c>
      <c r="B12" s="12">
        <v>0.2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 t="s">
        <v>59</v>
      </c>
      <c r="B13" s="12">
        <v>0.05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 t="s">
        <v>60</v>
      </c>
      <c r="B14" s="13">
        <v>1500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 t="s">
        <v>61</v>
      </c>
      <c r="B15" s="14">
        <v>160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 t="s">
        <v>62</v>
      </c>
      <c r="B16" s="14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30.6">
      <c r="A18" s="15" t="s">
        <v>63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0"/>
  <sheetViews>
    <sheetView workbookViewId="0"/>
  </sheetViews>
  <sheetFormatPr defaultRowHeight="13.8"/>
  <cols>
    <col min="1" max="1" width="22" customWidth="1"/>
    <col min="2" max="3" width="18" customWidth="1"/>
    <col min="4" max="4" width="16" customWidth="1"/>
    <col min="5" max="7" width="15" customWidth="1"/>
    <col min="8" max="8" width="32" customWidth="1"/>
  </cols>
  <sheetData>
    <row r="1" spans="1:17" ht="22.35" customHeight="1">
      <c r="A1" s="31" t="s">
        <v>64</v>
      </c>
      <c r="B1" s="32"/>
      <c r="C1" s="32"/>
      <c r="D1" s="32"/>
      <c r="E1" s="32"/>
      <c r="F1" s="32"/>
      <c r="G1" s="32"/>
      <c r="H1" s="3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3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24" customHeight="1">
      <c r="A4" s="1" t="s">
        <v>66</v>
      </c>
      <c r="B4" s="1" t="s">
        <v>67</v>
      </c>
      <c r="C4" s="1" t="s">
        <v>68</v>
      </c>
      <c r="D4" s="1" t="s">
        <v>69</v>
      </c>
      <c r="E4" s="1" t="s">
        <v>70</v>
      </c>
      <c r="F4" s="1" t="s">
        <v>71</v>
      </c>
      <c r="G4" s="1" t="s">
        <v>72</v>
      </c>
      <c r="H4" s="1" t="s">
        <v>73</v>
      </c>
      <c r="I4" s="2"/>
      <c r="J4" s="2"/>
      <c r="K4" s="2"/>
      <c r="L4" s="2"/>
      <c r="M4" s="2"/>
      <c r="N4" s="2"/>
      <c r="O4" s="2"/>
      <c r="P4" s="2"/>
      <c r="Q4" s="2"/>
    </row>
    <row r="5" spans="1:17">
      <c r="A5" s="2" t="s">
        <v>74</v>
      </c>
      <c r="B5" s="2" t="s">
        <v>75</v>
      </c>
      <c r="C5" s="13">
        <v>900</v>
      </c>
      <c r="D5" s="10">
        <v>160</v>
      </c>
      <c r="E5" s="16">
        <f t="shared" ref="E5:E14" si="0">C5/D5</f>
        <v>5.625</v>
      </c>
      <c r="F5" s="16">
        <f>E5*(1+Assumptions!$B$7)</f>
        <v>6.6374999999999993</v>
      </c>
      <c r="G5" s="16">
        <f>F5/(1-Assumptions!$B$6)</f>
        <v>10.21153846153846</v>
      </c>
      <c r="H5" s="2" t="s">
        <v>76</v>
      </c>
      <c r="I5" s="2"/>
      <c r="J5" s="2"/>
      <c r="K5" s="2"/>
      <c r="L5" s="2"/>
      <c r="M5" s="2"/>
      <c r="N5" s="2"/>
      <c r="O5" s="2"/>
      <c r="P5" s="2"/>
      <c r="Q5" s="2"/>
    </row>
    <row r="6" spans="1:17">
      <c r="A6" s="2" t="s">
        <v>77</v>
      </c>
      <c r="B6" s="2" t="s">
        <v>75</v>
      </c>
      <c r="C6" s="13">
        <v>1300</v>
      </c>
      <c r="D6" s="10">
        <v>160</v>
      </c>
      <c r="E6" s="16">
        <f t="shared" si="0"/>
        <v>8.125</v>
      </c>
      <c r="F6" s="16">
        <f>E6*(1+Assumptions!$B$7)</f>
        <v>9.5875000000000004</v>
      </c>
      <c r="G6" s="16">
        <f>F6/(1-Assumptions!$B$6)</f>
        <v>14.75</v>
      </c>
      <c r="H6" s="2" t="s">
        <v>78</v>
      </c>
      <c r="I6" s="2"/>
      <c r="J6" s="2"/>
      <c r="K6" s="2"/>
      <c r="L6" s="2"/>
      <c r="M6" s="2"/>
      <c r="N6" s="2"/>
      <c r="O6" s="2"/>
      <c r="P6" s="2"/>
      <c r="Q6" s="2"/>
    </row>
    <row r="7" spans="1:17">
      <c r="A7" s="2" t="s">
        <v>79</v>
      </c>
      <c r="B7" s="2" t="s">
        <v>75</v>
      </c>
      <c r="C7" s="13">
        <v>1000</v>
      </c>
      <c r="D7" s="10">
        <v>160</v>
      </c>
      <c r="E7" s="16">
        <f t="shared" si="0"/>
        <v>6.25</v>
      </c>
      <c r="F7" s="16">
        <f>E7*(1+Assumptions!$B$7)</f>
        <v>7.375</v>
      </c>
      <c r="G7" s="16">
        <f>F7/(1-Assumptions!$B$6)</f>
        <v>11.346153846153845</v>
      </c>
      <c r="H7" s="2" t="s">
        <v>80</v>
      </c>
      <c r="I7" s="2"/>
      <c r="J7" s="2"/>
      <c r="K7" s="2"/>
      <c r="L7" s="2"/>
      <c r="M7" s="2"/>
      <c r="N7" s="2"/>
      <c r="O7" s="2"/>
      <c r="P7" s="2"/>
      <c r="Q7" s="2"/>
    </row>
    <row r="8" spans="1:17">
      <c r="A8" s="2" t="s">
        <v>81</v>
      </c>
      <c r="B8" s="2" t="s">
        <v>75</v>
      </c>
      <c r="C8" s="13">
        <v>1200</v>
      </c>
      <c r="D8" s="10">
        <v>160</v>
      </c>
      <c r="E8" s="16">
        <f t="shared" si="0"/>
        <v>7.5</v>
      </c>
      <c r="F8" s="16">
        <f>E8*(1+Assumptions!$B$7)</f>
        <v>8.85</v>
      </c>
      <c r="G8" s="16">
        <f>F8/(1-Assumptions!$B$6)</f>
        <v>13.615384615384615</v>
      </c>
      <c r="H8" s="2" t="s">
        <v>82</v>
      </c>
      <c r="I8" s="2"/>
      <c r="J8" s="2"/>
      <c r="K8" s="2"/>
      <c r="L8" s="2"/>
      <c r="M8" s="2"/>
      <c r="N8" s="2"/>
      <c r="O8" s="2"/>
      <c r="P8" s="2"/>
      <c r="Q8" s="2"/>
    </row>
    <row r="9" spans="1:17">
      <c r="A9" s="2" t="s">
        <v>83</v>
      </c>
      <c r="B9" s="2" t="s">
        <v>75</v>
      </c>
      <c r="C9" s="13">
        <v>1500</v>
      </c>
      <c r="D9" s="10">
        <v>160</v>
      </c>
      <c r="E9" s="16">
        <f t="shared" si="0"/>
        <v>9.375</v>
      </c>
      <c r="F9" s="16">
        <f>E9*(1+Assumptions!$B$7)</f>
        <v>11.0625</v>
      </c>
      <c r="G9" s="16">
        <f>F9/(1-Assumptions!$B$6)</f>
        <v>17.01923076923077</v>
      </c>
      <c r="H9" s="2" t="s">
        <v>84</v>
      </c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 t="s">
        <v>85</v>
      </c>
      <c r="B10" s="2" t="s">
        <v>75</v>
      </c>
      <c r="C10" s="13">
        <v>2200</v>
      </c>
      <c r="D10" s="10">
        <v>150</v>
      </c>
      <c r="E10" s="16">
        <f t="shared" si="0"/>
        <v>14.666666666666666</v>
      </c>
      <c r="F10" s="16">
        <f>E10*(1+Assumptions!$B$7)</f>
        <v>17.306666666666665</v>
      </c>
      <c r="G10" s="16">
        <f>F10/(1-Assumptions!$B$6)</f>
        <v>26.625641025641023</v>
      </c>
      <c r="H10" s="2" t="s">
        <v>86</v>
      </c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 t="s">
        <v>87</v>
      </c>
      <c r="B11" s="2" t="s">
        <v>75</v>
      </c>
      <c r="C11" s="13">
        <v>2500</v>
      </c>
      <c r="D11" s="10">
        <v>150</v>
      </c>
      <c r="E11" s="16">
        <f t="shared" si="0"/>
        <v>16.666666666666668</v>
      </c>
      <c r="F11" s="16">
        <f>E11*(1+Assumptions!$B$7)</f>
        <v>19.666666666666668</v>
      </c>
      <c r="G11" s="16">
        <f>F11/(1-Assumptions!$B$6)</f>
        <v>30.256410256410255</v>
      </c>
      <c r="H11" s="2" t="s">
        <v>88</v>
      </c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 t="s">
        <v>89</v>
      </c>
      <c r="B12" s="2" t="s">
        <v>75</v>
      </c>
      <c r="C12" s="13">
        <v>750</v>
      </c>
      <c r="D12" s="10">
        <v>165</v>
      </c>
      <c r="E12" s="16">
        <f t="shared" si="0"/>
        <v>4.5454545454545459</v>
      </c>
      <c r="F12" s="16">
        <f>E12*(1+Assumptions!$B$7)</f>
        <v>5.3636363636363642</v>
      </c>
      <c r="G12" s="16">
        <f>F12/(1-Assumptions!$B$6)</f>
        <v>8.2517482517482517</v>
      </c>
      <c r="H12" s="2" t="s">
        <v>90</v>
      </c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 t="s">
        <v>91</v>
      </c>
      <c r="B13" s="2" t="s">
        <v>92</v>
      </c>
      <c r="C13" s="13">
        <v>4200</v>
      </c>
      <c r="D13" s="10">
        <v>160</v>
      </c>
      <c r="E13" s="16">
        <f t="shared" si="0"/>
        <v>26.25</v>
      </c>
      <c r="F13" s="16">
        <f>E13*(1+Assumptions!$B$7)</f>
        <v>30.974999999999998</v>
      </c>
      <c r="G13" s="16">
        <f>F13/(1-Assumptions!$B$6)</f>
        <v>47.653846153846146</v>
      </c>
      <c r="H13" s="2" t="s">
        <v>93</v>
      </c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 t="s">
        <v>94</v>
      </c>
      <c r="B14" s="2" t="s">
        <v>92</v>
      </c>
      <c r="C14" s="13">
        <v>2800</v>
      </c>
      <c r="D14" s="10">
        <v>160</v>
      </c>
      <c r="E14" s="16">
        <f t="shared" si="0"/>
        <v>17.5</v>
      </c>
      <c r="F14" s="16">
        <f>E14*(1+Assumptions!$B$7)</f>
        <v>20.65</v>
      </c>
      <c r="G14" s="16">
        <f>F14/(1-Assumptions!$B$6)</f>
        <v>31.769230769230766</v>
      </c>
      <c r="H14" s="2" t="s">
        <v>93</v>
      </c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0"/>
  <sheetViews>
    <sheetView workbookViewId="0"/>
  </sheetViews>
  <sheetFormatPr defaultRowHeight="13.8"/>
  <cols>
    <col min="1" max="1" width="30" customWidth="1"/>
    <col min="2" max="2" width="22" customWidth="1"/>
    <col min="3" max="6" width="13" customWidth="1"/>
    <col min="7" max="15" width="14" customWidth="1"/>
  </cols>
  <sheetData>
    <row r="1" spans="1:17" ht="22.35" customHeight="1">
      <c r="A1" s="28" t="s">
        <v>95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"/>
      <c r="Q1" s="2"/>
    </row>
    <row r="2" spans="1:17">
      <c r="A2" s="3" t="s">
        <v>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24" customHeight="1">
      <c r="A4" s="1" t="s">
        <v>97</v>
      </c>
      <c r="B4" s="1" t="s">
        <v>66</v>
      </c>
      <c r="C4" s="1" t="s">
        <v>98</v>
      </c>
      <c r="D4" s="1" t="s">
        <v>99</v>
      </c>
      <c r="E4" s="1" t="s">
        <v>100</v>
      </c>
      <c r="F4" s="1" t="s">
        <v>42</v>
      </c>
      <c r="G4" s="1" t="s">
        <v>101</v>
      </c>
      <c r="H4" s="1" t="s">
        <v>102</v>
      </c>
      <c r="I4" s="1" t="s">
        <v>103</v>
      </c>
      <c r="J4" s="1" t="s">
        <v>104</v>
      </c>
      <c r="K4" s="1" t="s">
        <v>105</v>
      </c>
      <c r="L4" s="1" t="s">
        <v>106</v>
      </c>
      <c r="M4" s="1" t="s">
        <v>107</v>
      </c>
      <c r="N4" s="1" t="s">
        <v>108</v>
      </c>
      <c r="O4" s="1" t="s">
        <v>109</v>
      </c>
      <c r="P4" s="2"/>
      <c r="Q4" s="2"/>
    </row>
    <row r="5" spans="1:17">
      <c r="A5" s="2" t="s">
        <v>110</v>
      </c>
      <c r="B5" s="2" t="s">
        <v>89</v>
      </c>
      <c r="C5" s="10">
        <v>1000</v>
      </c>
      <c r="D5" s="10">
        <v>0.8</v>
      </c>
      <c r="E5" s="10">
        <v>0</v>
      </c>
      <c r="F5" s="10" t="s">
        <v>50</v>
      </c>
      <c r="G5" s="17">
        <f>IF(E5&gt;0,E5,C5*D5/60)*VLOOKUP(F5,Assumptions!$D$5:$E$8,2,FALSE)*(1+Assumptions!$B$8+Assumptions!$B$9)</f>
        <v>16</v>
      </c>
      <c r="H5" s="16">
        <f>IFERROR(VLOOKUP(B5,Role_Rates!$A$5:$G$14,6,FALSE),0)</f>
        <v>5.3636363636363642</v>
      </c>
      <c r="I5" s="16">
        <f>IFERROR(VLOOKUP(B5,Role_Rates!$A$5:$G$14,7,FALSE),0)</f>
        <v>8.2517482517482517</v>
      </c>
      <c r="J5" s="16">
        <f t="shared" ref="J5:J10" si="0">G5*H5</f>
        <v>85.818181818181827</v>
      </c>
      <c r="K5" s="16">
        <f t="shared" ref="K5:K10" si="1">G5*I5</f>
        <v>132.02797202797203</v>
      </c>
      <c r="L5" s="16">
        <f>K5*Assumptions!$B$11</f>
        <v>6.6013986013986017</v>
      </c>
      <c r="M5" s="18" t="s">
        <v>111</v>
      </c>
      <c r="N5" s="16">
        <f>(K5+L5)*(1+IF(M5="Yes",Assumptions!$B$12,0))</f>
        <v>138.62937062937064</v>
      </c>
      <c r="O5" s="19">
        <f t="shared" ref="O5:O10" si="2">IF(N5=0,0,(N5-J5)/N5)</f>
        <v>0.38095238095238093</v>
      </c>
      <c r="P5" s="2"/>
      <c r="Q5" s="2"/>
    </row>
    <row r="6" spans="1:17">
      <c r="A6" s="2" t="s">
        <v>112</v>
      </c>
      <c r="B6" s="2" t="s">
        <v>74</v>
      </c>
      <c r="C6" s="10">
        <v>1000</v>
      </c>
      <c r="D6" s="10">
        <v>2.5</v>
      </c>
      <c r="E6" s="10">
        <v>0</v>
      </c>
      <c r="F6" s="10" t="s">
        <v>50</v>
      </c>
      <c r="G6" s="17">
        <f>IF(E6&gt;0,E6,C6*D6/60)*VLOOKUP(F6,Assumptions!$D$5:$E$8,2,FALSE)*(1+Assumptions!$B$8+Assumptions!$B$9)</f>
        <v>49.999999999999993</v>
      </c>
      <c r="H6" s="16">
        <f>IFERROR(VLOOKUP(B6,Role_Rates!$A$5:$G$14,6,FALSE),0)</f>
        <v>6.6374999999999993</v>
      </c>
      <c r="I6" s="16">
        <f>IFERROR(VLOOKUP(B6,Role_Rates!$A$5:$G$14,7,FALSE),0)</f>
        <v>10.21153846153846</v>
      </c>
      <c r="J6" s="16">
        <f t="shared" si="0"/>
        <v>331.87499999999994</v>
      </c>
      <c r="K6" s="16">
        <f t="shared" si="1"/>
        <v>510.57692307692292</v>
      </c>
      <c r="L6" s="16">
        <f>K6*Assumptions!$B$11</f>
        <v>25.528846153846146</v>
      </c>
      <c r="M6" s="18" t="s">
        <v>111</v>
      </c>
      <c r="N6" s="16">
        <f>(K6+L6)*(1+IF(M6="Yes",Assumptions!$B$12,0))</f>
        <v>536.10576923076906</v>
      </c>
      <c r="O6" s="19">
        <f t="shared" si="2"/>
        <v>0.38095238095238088</v>
      </c>
      <c r="P6" s="2"/>
      <c r="Q6" s="2"/>
    </row>
    <row r="7" spans="1:17">
      <c r="A7" s="2" t="s">
        <v>113</v>
      </c>
      <c r="B7" s="2" t="s">
        <v>74</v>
      </c>
      <c r="C7" s="10">
        <v>1000</v>
      </c>
      <c r="D7" s="10">
        <v>4</v>
      </c>
      <c r="E7" s="10">
        <v>0</v>
      </c>
      <c r="F7" s="10" t="s">
        <v>52</v>
      </c>
      <c r="G7" s="17">
        <f>IF(E7&gt;0,E7,C7*D7/60)*VLOOKUP(F7,Assumptions!$D$5:$E$8,2,FALSE)*(1+Assumptions!$B$8+Assumptions!$B$9)</f>
        <v>100.00000000000001</v>
      </c>
      <c r="H7" s="16">
        <f>IFERROR(VLOOKUP(B7,Role_Rates!$A$5:$G$14,6,FALSE),0)</f>
        <v>6.6374999999999993</v>
      </c>
      <c r="I7" s="16">
        <f>IFERROR(VLOOKUP(B7,Role_Rates!$A$5:$G$14,7,FALSE),0)</f>
        <v>10.21153846153846</v>
      </c>
      <c r="J7" s="16">
        <f t="shared" si="0"/>
        <v>663.75</v>
      </c>
      <c r="K7" s="16">
        <f t="shared" si="1"/>
        <v>1021.1538461538462</v>
      </c>
      <c r="L7" s="16">
        <f>K7*Assumptions!$B$11</f>
        <v>51.057692307692314</v>
      </c>
      <c r="M7" s="18" t="s">
        <v>111</v>
      </c>
      <c r="N7" s="16">
        <f>(K7+L7)*(1+IF(M7="Yes",Assumptions!$B$12,0))</f>
        <v>1072.2115384615386</v>
      </c>
      <c r="O7" s="19">
        <f t="shared" si="2"/>
        <v>0.38095238095238099</v>
      </c>
      <c r="P7" s="2"/>
      <c r="Q7" s="2"/>
    </row>
    <row r="8" spans="1:17">
      <c r="A8" s="2" t="s">
        <v>114</v>
      </c>
      <c r="B8" s="2" t="s">
        <v>77</v>
      </c>
      <c r="C8" s="10">
        <v>500</v>
      </c>
      <c r="D8" s="10">
        <v>6</v>
      </c>
      <c r="E8" s="10">
        <v>0</v>
      </c>
      <c r="F8" s="10" t="s">
        <v>54</v>
      </c>
      <c r="G8" s="17">
        <f>IF(E8&gt;0,E8,C8*D8/60)*VLOOKUP(F8,Assumptions!$D$5:$E$8,2,FALSE)*(1+Assumptions!$B$8+Assumptions!$B$9)</f>
        <v>96</v>
      </c>
      <c r="H8" s="16">
        <f>IFERROR(VLOOKUP(B8,Role_Rates!$A$5:$G$14,6,FALSE),0)</f>
        <v>9.5875000000000004</v>
      </c>
      <c r="I8" s="16">
        <f>IFERROR(VLOOKUP(B8,Role_Rates!$A$5:$G$14,7,FALSE),0)</f>
        <v>14.75</v>
      </c>
      <c r="J8" s="16">
        <f t="shared" si="0"/>
        <v>920.40000000000009</v>
      </c>
      <c r="K8" s="16">
        <f t="shared" si="1"/>
        <v>1416</v>
      </c>
      <c r="L8" s="16">
        <f>K8*Assumptions!$B$11</f>
        <v>70.8</v>
      </c>
      <c r="M8" s="18" t="s">
        <v>111</v>
      </c>
      <c r="N8" s="16">
        <f>(K8+L8)*(1+IF(M8="Yes",Assumptions!$B$12,0))</f>
        <v>1486.8</v>
      </c>
      <c r="O8" s="19">
        <f t="shared" si="2"/>
        <v>0.38095238095238088</v>
      </c>
      <c r="P8" s="2"/>
      <c r="Q8" s="2"/>
    </row>
    <row r="9" spans="1:17">
      <c r="A9" s="2" t="s">
        <v>115</v>
      </c>
      <c r="B9" s="2" t="s">
        <v>79</v>
      </c>
      <c r="C9" s="10">
        <v>1000</v>
      </c>
      <c r="D9" s="10">
        <v>1.2</v>
      </c>
      <c r="E9" s="10">
        <v>0</v>
      </c>
      <c r="F9" s="10" t="s">
        <v>50</v>
      </c>
      <c r="G9" s="17">
        <f>IF(E9&gt;0,E9,C9*D9/60)*VLOOKUP(F9,Assumptions!$D$5:$E$8,2,FALSE)*(1+Assumptions!$B$8+Assumptions!$B$9)</f>
        <v>24</v>
      </c>
      <c r="H9" s="16">
        <f>IFERROR(VLOOKUP(B9,Role_Rates!$A$5:$G$14,6,FALSE),0)</f>
        <v>7.375</v>
      </c>
      <c r="I9" s="16">
        <f>IFERROR(VLOOKUP(B9,Role_Rates!$A$5:$G$14,7,FALSE),0)</f>
        <v>11.346153846153845</v>
      </c>
      <c r="J9" s="16">
        <f t="shared" si="0"/>
        <v>177</v>
      </c>
      <c r="K9" s="16">
        <f t="shared" si="1"/>
        <v>272.30769230769226</v>
      </c>
      <c r="L9" s="16">
        <f>K9*Assumptions!$B$11</f>
        <v>13.615384615384613</v>
      </c>
      <c r="M9" s="18" t="s">
        <v>111</v>
      </c>
      <c r="N9" s="16">
        <f>(K9+L9)*(1+IF(M9="Yes",Assumptions!$B$12,0))</f>
        <v>285.92307692307691</v>
      </c>
      <c r="O9" s="19">
        <f t="shared" si="2"/>
        <v>0.38095238095238093</v>
      </c>
      <c r="P9" s="2"/>
      <c r="Q9" s="2"/>
    </row>
    <row r="10" spans="1:17">
      <c r="A10" s="2" t="s">
        <v>116</v>
      </c>
      <c r="B10" s="2" t="s">
        <v>87</v>
      </c>
      <c r="C10" s="10">
        <v>1</v>
      </c>
      <c r="D10" s="10">
        <v>0</v>
      </c>
      <c r="E10" s="10">
        <v>12</v>
      </c>
      <c r="F10" s="10" t="s">
        <v>50</v>
      </c>
      <c r="G10" s="17">
        <f>IF(E10&gt;0,E10,C10*D10/60)*VLOOKUP(F10,Assumptions!$D$5:$E$8,2,FALSE)*(1+Assumptions!$B$8+Assumptions!$B$9)</f>
        <v>14.399999999999999</v>
      </c>
      <c r="H10" s="16">
        <f>IFERROR(VLOOKUP(B10,Role_Rates!$A$5:$G$14,6,FALSE),0)</f>
        <v>19.666666666666668</v>
      </c>
      <c r="I10" s="16">
        <f>IFERROR(VLOOKUP(B10,Role_Rates!$A$5:$G$14,7,FALSE),0)</f>
        <v>30.256410256410255</v>
      </c>
      <c r="J10" s="16">
        <f t="shared" si="0"/>
        <v>283.2</v>
      </c>
      <c r="K10" s="16">
        <f t="shared" si="1"/>
        <v>435.69230769230762</v>
      </c>
      <c r="L10" s="16">
        <f>K10*Assumptions!$B$11</f>
        <v>21.784615384615382</v>
      </c>
      <c r="M10" s="18" t="s">
        <v>111</v>
      </c>
      <c r="N10" s="16">
        <f>(K10+L10)*(1+IF(M10="Yes",Assumptions!$B$12,0))</f>
        <v>457.47692307692301</v>
      </c>
      <c r="O10" s="19">
        <f t="shared" si="2"/>
        <v>0.38095238095238088</v>
      </c>
      <c r="P10" s="2"/>
      <c r="Q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33" t="s">
        <v>117</v>
      </c>
      <c r="B12" s="29"/>
      <c r="C12" s="29"/>
      <c r="D12" s="29"/>
      <c r="E12" s="29"/>
      <c r="F12" s="29"/>
      <c r="G12" s="29"/>
      <c r="H12" s="29"/>
      <c r="I12" s="29"/>
      <c r="J12" s="20" t="s">
        <v>118</v>
      </c>
      <c r="K12" s="20" t="s">
        <v>41</v>
      </c>
      <c r="L12" s="2"/>
      <c r="M12" s="2"/>
      <c r="N12" s="2"/>
      <c r="O12" s="2"/>
      <c r="P12" s="2"/>
      <c r="Q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0" t="s">
        <v>119</v>
      </c>
      <c r="K13" s="20">
        <f>SUM(G5:G10)</f>
        <v>300.39999999999998</v>
      </c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0" t="s">
        <v>120</v>
      </c>
      <c r="K14" s="20">
        <f>SUM(J5:J10)</f>
        <v>2462.0431818181814</v>
      </c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0" t="s">
        <v>121</v>
      </c>
      <c r="K15" s="20">
        <f>MAX(SUM(N5:N10),Assumptions!$B$14)</f>
        <v>3977.1466783216779</v>
      </c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mergeCells count="2">
    <mergeCell ref="A1:O1"/>
    <mergeCell ref="A12:I12"/>
  </mergeCells>
  <dataValidations count="2">
    <dataValidation type="list" sqref="F5:F10" xr:uid="{00000000-0002-0000-0300-000000000000}">
      <formula1>"Simple,Standard,Medium,Complex"</formula1>
    </dataValidation>
    <dataValidation type="list" sqref="M5:M10" xr:uid="{00000000-0002-0000-0300-000001000000}">
      <formula1>"No,Yes"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0"/>
  <sheetViews>
    <sheetView workbookViewId="0"/>
  </sheetViews>
  <sheetFormatPr defaultRowHeight="13.8"/>
  <cols>
    <col min="1" max="1" width="22" customWidth="1"/>
    <col min="2" max="3" width="12" customWidth="1"/>
    <col min="4" max="8" width="18" customWidth="1"/>
    <col min="9" max="9" width="14" customWidth="1"/>
    <col min="10" max="10" width="32" customWidth="1"/>
  </cols>
  <sheetData>
    <row r="1" spans="1:17" ht="22.35" customHeight="1">
      <c r="A1" s="28" t="s">
        <v>122</v>
      </c>
      <c r="B1" s="29"/>
      <c r="C1" s="29"/>
      <c r="D1" s="29"/>
      <c r="E1" s="29"/>
      <c r="F1" s="29"/>
      <c r="G1" s="29"/>
      <c r="H1" s="29"/>
      <c r="I1" s="29"/>
      <c r="J1" s="29"/>
      <c r="K1" s="2"/>
      <c r="L1" s="2"/>
      <c r="M1" s="2"/>
      <c r="N1" s="2"/>
      <c r="O1" s="2"/>
      <c r="P1" s="2"/>
      <c r="Q1" s="2"/>
    </row>
    <row r="2" spans="1:17">
      <c r="A2" s="3" t="s">
        <v>123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24" customHeight="1">
      <c r="A4" s="1" t="s">
        <v>66</v>
      </c>
      <c r="B4" s="1" t="s">
        <v>124</v>
      </c>
      <c r="C4" s="1" t="s">
        <v>125</v>
      </c>
      <c r="D4" s="1" t="s">
        <v>126</v>
      </c>
      <c r="E4" s="1" t="s">
        <v>127</v>
      </c>
      <c r="F4" s="1" t="s">
        <v>128</v>
      </c>
      <c r="G4" s="1" t="s">
        <v>129</v>
      </c>
      <c r="H4" s="1" t="s">
        <v>130</v>
      </c>
      <c r="I4" s="1" t="s">
        <v>109</v>
      </c>
      <c r="J4" s="1" t="s">
        <v>131</v>
      </c>
      <c r="K4" s="2"/>
      <c r="L4" s="2"/>
      <c r="M4" s="2"/>
      <c r="N4" s="2"/>
      <c r="O4" s="2"/>
      <c r="P4" s="2"/>
      <c r="Q4" s="2"/>
    </row>
    <row r="5" spans="1:17">
      <c r="A5" s="2" t="s">
        <v>89</v>
      </c>
      <c r="B5" s="10">
        <v>3</v>
      </c>
      <c r="C5" s="10">
        <v>6</v>
      </c>
      <c r="D5" s="16">
        <f>IFERROR(VLOOKUP(A5,Role_Rates!$A$5:$C$14,3,FALSE),0)</f>
        <v>750</v>
      </c>
      <c r="E5" s="16">
        <f>D5*(1+Assumptions!$B$7)</f>
        <v>885</v>
      </c>
      <c r="F5" s="16">
        <f>E5/(1-Assumptions!$B$6)</f>
        <v>1361.5384615384614</v>
      </c>
      <c r="G5" s="16">
        <f>B5*C5*E5</f>
        <v>15930</v>
      </c>
      <c r="H5" s="16">
        <f>B5*C5*F5</f>
        <v>24507.692307692305</v>
      </c>
      <c r="I5" s="19">
        <f>IF(H5=0,0,(H5-G5)/H5)</f>
        <v>0.34999999999999992</v>
      </c>
      <c r="J5" s="2" t="s">
        <v>132</v>
      </c>
      <c r="K5" s="2"/>
      <c r="L5" s="2"/>
      <c r="M5" s="2"/>
      <c r="N5" s="2"/>
      <c r="O5" s="2"/>
      <c r="P5" s="2"/>
      <c r="Q5" s="2"/>
    </row>
    <row r="6" spans="1:17">
      <c r="A6" s="2" t="s">
        <v>74</v>
      </c>
      <c r="B6" s="10">
        <v>4</v>
      </c>
      <c r="C6" s="10">
        <v>6</v>
      </c>
      <c r="D6" s="16">
        <f>IFERROR(VLOOKUP(A6,Role_Rates!$A$5:$C$14,3,FALSE),0)</f>
        <v>900</v>
      </c>
      <c r="E6" s="16">
        <f>D6*(1+Assumptions!$B$7)</f>
        <v>1062</v>
      </c>
      <c r="F6" s="16">
        <f>E6/(1-Assumptions!$B$6)</f>
        <v>1633.8461538461538</v>
      </c>
      <c r="G6" s="16">
        <f>B6*C6*E6</f>
        <v>25488</v>
      </c>
      <c r="H6" s="16">
        <f>B6*C6*F6</f>
        <v>39212.307692307688</v>
      </c>
      <c r="I6" s="19">
        <f>IF(H6=0,0,(H6-G6)/H6)</f>
        <v>0.34999999999999992</v>
      </c>
      <c r="J6" s="2" t="s">
        <v>133</v>
      </c>
      <c r="K6" s="2"/>
      <c r="L6" s="2"/>
      <c r="M6" s="2"/>
      <c r="N6" s="2"/>
      <c r="O6" s="2"/>
      <c r="P6" s="2"/>
      <c r="Q6" s="2"/>
    </row>
    <row r="7" spans="1:17">
      <c r="A7" s="2" t="s">
        <v>79</v>
      </c>
      <c r="B7" s="10">
        <v>1</v>
      </c>
      <c r="C7" s="10">
        <v>6</v>
      </c>
      <c r="D7" s="16">
        <f>IFERROR(VLOOKUP(A7,Role_Rates!$A$5:$C$14,3,FALSE),0)</f>
        <v>1000</v>
      </c>
      <c r="E7" s="16">
        <f>D7*(1+Assumptions!$B$7)</f>
        <v>1180</v>
      </c>
      <c r="F7" s="16">
        <f>E7/(1-Assumptions!$B$6)</f>
        <v>1815.3846153846152</v>
      </c>
      <c r="G7" s="16">
        <f>B7*C7*E7</f>
        <v>7080</v>
      </c>
      <c r="H7" s="16">
        <f>B7*C7*F7</f>
        <v>10892.307692307691</v>
      </c>
      <c r="I7" s="19">
        <f>IF(H7=0,0,(H7-G7)/H7)</f>
        <v>0.34999999999999992</v>
      </c>
      <c r="J7" s="2" t="s">
        <v>134</v>
      </c>
      <c r="K7" s="2"/>
      <c r="L7" s="2"/>
      <c r="M7" s="2"/>
      <c r="N7" s="2"/>
      <c r="O7" s="2"/>
      <c r="P7" s="2"/>
      <c r="Q7" s="2"/>
    </row>
    <row r="8" spans="1:17">
      <c r="A8" s="2" t="s">
        <v>87</v>
      </c>
      <c r="B8" s="10">
        <v>0.5</v>
      </c>
      <c r="C8" s="10">
        <v>6</v>
      </c>
      <c r="D8" s="16">
        <f>IFERROR(VLOOKUP(A8,Role_Rates!$A$5:$C$14,3,FALSE),0)</f>
        <v>2500</v>
      </c>
      <c r="E8" s="16">
        <f>D8*(1+Assumptions!$B$7)</f>
        <v>2950</v>
      </c>
      <c r="F8" s="16">
        <f>E8/(1-Assumptions!$B$6)</f>
        <v>4538.4615384615381</v>
      </c>
      <c r="G8" s="16">
        <f>B8*C8*E8</f>
        <v>8850</v>
      </c>
      <c r="H8" s="16">
        <f>B8*C8*F8</f>
        <v>13615.384615384613</v>
      </c>
      <c r="I8" s="19">
        <f>IF(H8=0,0,(H8-G8)/H8)</f>
        <v>0.34999999999999992</v>
      </c>
      <c r="J8" s="2" t="s">
        <v>135</v>
      </c>
      <c r="K8" s="2"/>
      <c r="L8" s="2"/>
      <c r="M8" s="2"/>
      <c r="N8" s="2"/>
      <c r="O8" s="2"/>
      <c r="P8" s="2"/>
      <c r="Q8" s="2"/>
    </row>
    <row r="9" spans="1:17">
      <c r="A9" s="2"/>
      <c r="B9" s="2"/>
      <c r="C9" s="2"/>
      <c r="D9" s="21"/>
      <c r="E9" s="21"/>
      <c r="F9" s="21"/>
      <c r="G9" s="21"/>
      <c r="H9" s="21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33" t="s">
        <v>136</v>
      </c>
      <c r="B10" s="29"/>
      <c r="C10" s="29"/>
      <c r="D10" s="34"/>
      <c r="E10" s="34"/>
      <c r="F10" s="34"/>
      <c r="G10" s="22" t="s">
        <v>118</v>
      </c>
      <c r="H10" s="22" t="s">
        <v>41</v>
      </c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/>
      <c r="B11" s="2"/>
      <c r="C11" s="2"/>
      <c r="D11" s="21"/>
      <c r="E11" s="21"/>
      <c r="F11" s="21"/>
      <c r="G11" s="22" t="s">
        <v>129</v>
      </c>
      <c r="H11" s="22">
        <f>SUM(G5:G8)</f>
        <v>57348</v>
      </c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/>
      <c r="B12" s="2"/>
      <c r="C12" s="2"/>
      <c r="D12" s="21"/>
      <c r="E12" s="21"/>
      <c r="F12" s="21"/>
      <c r="G12" s="22" t="s">
        <v>130</v>
      </c>
      <c r="H12" s="22">
        <f>SUM(H5:H8)</f>
        <v>88227.692307692298</v>
      </c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mergeCells count="2">
    <mergeCell ref="A1:J1"/>
    <mergeCell ref="A10:F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0"/>
  <sheetViews>
    <sheetView workbookViewId="0"/>
  </sheetViews>
  <sheetFormatPr defaultRowHeight="13.8"/>
  <cols>
    <col min="1" max="1" width="30" customWidth="1"/>
    <col min="2" max="2" width="14" customWidth="1"/>
    <col min="3" max="3" width="12" customWidth="1"/>
    <col min="4" max="4" width="20" customWidth="1"/>
    <col min="5" max="6" width="12" customWidth="1"/>
    <col min="7" max="16" width="14" customWidth="1"/>
    <col min="17" max="17" width="30" customWidth="1"/>
  </cols>
  <sheetData>
    <row r="1" spans="1:17" ht="22.35" customHeight="1">
      <c r="A1" s="28" t="s">
        <v>137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>
      <c r="A2" s="3" t="s">
        <v>138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24" customHeight="1">
      <c r="A4" s="1" t="s">
        <v>97</v>
      </c>
      <c r="B4" s="1" t="s">
        <v>139</v>
      </c>
      <c r="C4" s="1" t="s">
        <v>98</v>
      </c>
      <c r="D4" s="1" t="s">
        <v>66</v>
      </c>
      <c r="E4" s="1" t="s">
        <v>140</v>
      </c>
      <c r="F4" s="1" t="s">
        <v>42</v>
      </c>
      <c r="G4" s="1" t="s">
        <v>141</v>
      </c>
      <c r="H4" s="1" t="s">
        <v>142</v>
      </c>
      <c r="I4" s="1" t="s">
        <v>143</v>
      </c>
      <c r="J4" s="1" t="s">
        <v>144</v>
      </c>
      <c r="K4" s="1" t="s">
        <v>145</v>
      </c>
      <c r="L4" s="1" t="s">
        <v>146</v>
      </c>
      <c r="M4" s="1" t="s">
        <v>147</v>
      </c>
      <c r="N4" s="1" t="s">
        <v>129</v>
      </c>
      <c r="O4" s="1" t="s">
        <v>130</v>
      </c>
      <c r="P4" s="1" t="s">
        <v>109</v>
      </c>
      <c r="Q4" s="1" t="s">
        <v>131</v>
      </c>
    </row>
    <row r="5" spans="1:17">
      <c r="A5" s="2" t="s">
        <v>148</v>
      </c>
      <c r="B5" s="2" t="s">
        <v>149</v>
      </c>
      <c r="C5" s="10">
        <v>25</v>
      </c>
      <c r="D5" s="10" t="s">
        <v>83</v>
      </c>
      <c r="E5" s="10">
        <v>45</v>
      </c>
      <c r="F5" s="10" t="s">
        <v>50</v>
      </c>
      <c r="G5" s="16">
        <f>(E5/60)*IFERROR(VLOOKUP(D5,Role_Rates!$A$5:$F$14,6,FALSE),0)*VLOOKUP(F5,Assumptions!$D$5:$E$8,2,FALSE)</f>
        <v>8.296875</v>
      </c>
      <c r="H5" s="18">
        <v>0</v>
      </c>
      <c r="I5" s="23">
        <v>0.1</v>
      </c>
      <c r="J5" s="19">
        <f>(G5+H5)*(1+I5+Assumptions!$B$9+Assumptions!$B$11)</f>
        <v>9.9562500000000007</v>
      </c>
      <c r="K5" s="19">
        <f>Assumptions!$B$6</f>
        <v>0.35</v>
      </c>
      <c r="L5" s="19">
        <f>VLOOKUP(C5,Assumptions!$G$5:$H$9,2,TRUE)</f>
        <v>0</v>
      </c>
      <c r="M5" s="16">
        <f t="shared" ref="M5:M10" si="0">(J5/(1-K5))*(1-L5)</f>
        <v>15.317307692307693</v>
      </c>
      <c r="N5" s="16">
        <f t="shared" ref="N5:N10" si="1">J5*C5</f>
        <v>248.90625000000003</v>
      </c>
      <c r="O5" s="16">
        <f t="shared" ref="O5:O10" si="2">M5*C5</f>
        <v>382.93269230769232</v>
      </c>
      <c r="P5" s="19">
        <f t="shared" ref="P5:P10" si="3">IF(O5=0,0,(O5-N5)/O5)</f>
        <v>0.34999999999999992</v>
      </c>
      <c r="Q5" s="2" t="s">
        <v>150</v>
      </c>
    </row>
    <row r="6" spans="1:17">
      <c r="A6" s="2" t="s">
        <v>151</v>
      </c>
      <c r="B6" s="2" t="s">
        <v>152</v>
      </c>
      <c r="C6" s="10">
        <v>2500</v>
      </c>
      <c r="D6" s="10" t="s">
        <v>83</v>
      </c>
      <c r="E6" s="10">
        <v>6</v>
      </c>
      <c r="F6" s="10" t="s">
        <v>50</v>
      </c>
      <c r="G6" s="16">
        <f>(E6/60)*IFERROR(VLOOKUP(D6,Role_Rates!$A$5:$F$14,6,FALSE),0)*VLOOKUP(F6,Assumptions!$D$5:$E$8,2,FALSE)</f>
        <v>1.10625</v>
      </c>
      <c r="H6" s="18">
        <v>0.15</v>
      </c>
      <c r="I6" s="23">
        <v>0.15</v>
      </c>
      <c r="J6" s="19">
        <f>(G6+H6)*(1+I6+Assumptions!$B$9+Assumptions!$B$11)</f>
        <v>1.5703124999999998</v>
      </c>
      <c r="K6" s="19">
        <f>Assumptions!$B$6</f>
        <v>0.35</v>
      </c>
      <c r="L6" s="19">
        <f>VLOOKUP(C6,Assumptions!$G$5:$H$9,2,TRUE)</f>
        <v>0.05</v>
      </c>
      <c r="M6" s="16">
        <f t="shared" si="0"/>
        <v>2.295072115384615</v>
      </c>
      <c r="N6" s="16">
        <f t="shared" si="1"/>
        <v>3925.7812499999995</v>
      </c>
      <c r="O6" s="16">
        <f t="shared" si="2"/>
        <v>5737.6802884615372</v>
      </c>
      <c r="P6" s="19">
        <f t="shared" si="3"/>
        <v>0.31578947368421045</v>
      </c>
      <c r="Q6" s="2" t="s">
        <v>153</v>
      </c>
    </row>
    <row r="7" spans="1:17">
      <c r="A7" s="2" t="s">
        <v>154</v>
      </c>
      <c r="B7" s="2" t="s">
        <v>152</v>
      </c>
      <c r="C7" s="10">
        <v>2500</v>
      </c>
      <c r="D7" s="10" t="s">
        <v>74</v>
      </c>
      <c r="E7" s="10">
        <v>4</v>
      </c>
      <c r="F7" s="10" t="s">
        <v>52</v>
      </c>
      <c r="G7" s="16">
        <f>(E7/60)*IFERROR(VLOOKUP(D7,Role_Rates!$A$5:$F$14,6,FALSE),0)*VLOOKUP(F7,Assumptions!$D$5:$E$8,2,FALSE)</f>
        <v>0.55312499999999998</v>
      </c>
      <c r="H7" s="18">
        <v>0.1</v>
      </c>
      <c r="I7" s="23">
        <v>0.15</v>
      </c>
      <c r="J7" s="19">
        <f>(G7+H7)*(1+I7+Assumptions!$B$9+Assumptions!$B$11)</f>
        <v>0.81640625</v>
      </c>
      <c r="K7" s="19">
        <f>Assumptions!$B$6</f>
        <v>0.35</v>
      </c>
      <c r="L7" s="19">
        <f>VLOOKUP(C7,Assumptions!$G$5:$H$9,2,TRUE)</f>
        <v>0.05</v>
      </c>
      <c r="M7" s="16">
        <f t="shared" si="0"/>
        <v>1.1932091346153846</v>
      </c>
      <c r="N7" s="16">
        <f t="shared" si="1"/>
        <v>2041.015625</v>
      </c>
      <c r="O7" s="16">
        <f t="shared" si="2"/>
        <v>2983.0228365384614</v>
      </c>
      <c r="P7" s="19">
        <f t="shared" si="3"/>
        <v>0.31578947368421051</v>
      </c>
      <c r="Q7" s="2" t="s">
        <v>155</v>
      </c>
    </row>
    <row r="8" spans="1:17">
      <c r="A8" s="2" t="s">
        <v>156</v>
      </c>
      <c r="B8" s="2" t="s">
        <v>152</v>
      </c>
      <c r="C8" s="10">
        <v>750</v>
      </c>
      <c r="D8" s="10" t="s">
        <v>83</v>
      </c>
      <c r="E8" s="10">
        <v>18</v>
      </c>
      <c r="F8" s="10" t="s">
        <v>54</v>
      </c>
      <c r="G8" s="16">
        <f>(E8/60)*IFERROR(VLOOKUP(D8,Role_Rates!$A$5:$F$14,6,FALSE),0)*VLOOKUP(F8,Assumptions!$D$5:$E$8,2,FALSE)</f>
        <v>5.3100000000000005</v>
      </c>
      <c r="H8" s="18">
        <v>0.5</v>
      </c>
      <c r="I8" s="23">
        <v>0.2</v>
      </c>
      <c r="J8" s="19">
        <f>(G8+H8)*(1+I8+Assumptions!$B$9+Assumptions!$B$11)</f>
        <v>7.5530000000000008</v>
      </c>
      <c r="K8" s="19">
        <f>Assumptions!$B$6</f>
        <v>0.35</v>
      </c>
      <c r="L8" s="19">
        <f>VLOOKUP(C8,Assumptions!$G$5:$H$9,2,TRUE)</f>
        <v>0.03</v>
      </c>
      <c r="M8" s="16">
        <f t="shared" si="0"/>
        <v>11.2714</v>
      </c>
      <c r="N8" s="16">
        <f t="shared" si="1"/>
        <v>5664.7500000000009</v>
      </c>
      <c r="O8" s="16">
        <f t="shared" si="2"/>
        <v>8453.5499999999993</v>
      </c>
      <c r="P8" s="19">
        <f t="shared" si="3"/>
        <v>0.32989690721649467</v>
      </c>
      <c r="Q8" s="2" t="s">
        <v>157</v>
      </c>
    </row>
    <row r="9" spans="1:17">
      <c r="A9" s="2" t="s">
        <v>158</v>
      </c>
      <c r="B9" s="2" t="s">
        <v>152</v>
      </c>
      <c r="C9" s="10">
        <v>1250</v>
      </c>
      <c r="D9" s="10" t="s">
        <v>79</v>
      </c>
      <c r="E9" s="10">
        <v>5</v>
      </c>
      <c r="F9" s="10" t="s">
        <v>50</v>
      </c>
      <c r="G9" s="16">
        <f>(E9/60)*IFERROR(VLOOKUP(D9,Role_Rates!$A$5:$F$14,6,FALSE),0)*VLOOKUP(F9,Assumptions!$D$5:$E$8,2,FALSE)</f>
        <v>0.61458333333333326</v>
      </c>
      <c r="H9" s="18">
        <v>0.1</v>
      </c>
      <c r="I9" s="23">
        <v>0.15</v>
      </c>
      <c r="J9" s="19">
        <f>(G9+H9)*(1+I9+Assumptions!$B$9+Assumptions!$B$11)</f>
        <v>0.89322916666666652</v>
      </c>
      <c r="K9" s="19">
        <f>Assumptions!$B$6</f>
        <v>0.35</v>
      </c>
      <c r="L9" s="19">
        <f>VLOOKUP(C9,Assumptions!$G$5:$H$9,2,TRUE)</f>
        <v>0.03</v>
      </c>
      <c r="M9" s="16">
        <f t="shared" si="0"/>
        <v>1.332972756410256</v>
      </c>
      <c r="N9" s="16">
        <f t="shared" si="1"/>
        <v>1116.5364583333333</v>
      </c>
      <c r="O9" s="16">
        <f t="shared" si="2"/>
        <v>1666.2159455128201</v>
      </c>
      <c r="P9" s="19">
        <f t="shared" si="3"/>
        <v>0.32989690721649473</v>
      </c>
      <c r="Q9" s="2" t="s">
        <v>159</v>
      </c>
    </row>
    <row r="10" spans="1:17">
      <c r="A10" s="2" t="s">
        <v>160</v>
      </c>
      <c r="B10" s="2" t="s">
        <v>152</v>
      </c>
      <c r="C10" s="10">
        <v>2500</v>
      </c>
      <c r="D10" s="10" t="s">
        <v>74</v>
      </c>
      <c r="E10" s="10">
        <v>3</v>
      </c>
      <c r="F10" s="10" t="s">
        <v>50</v>
      </c>
      <c r="G10" s="16">
        <f>(E10/60)*IFERROR(VLOOKUP(D10,Role_Rates!$A$5:$F$14,6,FALSE),0)*VLOOKUP(F10,Assumptions!$D$5:$E$8,2,FALSE)</f>
        <v>0.33187499999999998</v>
      </c>
      <c r="H10" s="18">
        <v>0.05</v>
      </c>
      <c r="I10" s="23">
        <v>0.1</v>
      </c>
      <c r="J10" s="19">
        <f>(G10+H10)*(1+I10+Assumptions!$B$9+Assumptions!$B$11)</f>
        <v>0.45825000000000005</v>
      </c>
      <c r="K10" s="19">
        <f>Assumptions!$B$6</f>
        <v>0.35</v>
      </c>
      <c r="L10" s="19">
        <f>VLOOKUP(C10,Assumptions!$G$5:$H$9,2,TRUE)</f>
        <v>0.05</v>
      </c>
      <c r="M10" s="16">
        <f t="shared" si="0"/>
        <v>0.66975000000000007</v>
      </c>
      <c r="N10" s="16">
        <f t="shared" si="1"/>
        <v>1145.6250000000002</v>
      </c>
      <c r="O10" s="16">
        <f t="shared" si="2"/>
        <v>1674.3750000000002</v>
      </c>
      <c r="P10" s="19">
        <f t="shared" si="3"/>
        <v>0.31578947368421051</v>
      </c>
      <c r="Q10" s="2" t="s">
        <v>161</v>
      </c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mergeCells count="1">
    <mergeCell ref="A1:Q1"/>
  </mergeCells>
  <dataValidations count="1">
    <dataValidation type="list" sqref="F5:F10" xr:uid="{00000000-0002-0000-0500-000000000000}">
      <formula1>"Simple,Standard,Medium,Complex"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0"/>
  <sheetViews>
    <sheetView workbookViewId="0"/>
  </sheetViews>
  <sheetFormatPr defaultRowHeight="13.8"/>
  <cols>
    <col min="1" max="1" width="25" customWidth="1"/>
    <col min="2" max="5" width="14" customWidth="1"/>
    <col min="6" max="9" width="15" customWidth="1"/>
    <col min="10" max="14" width="14" customWidth="1"/>
    <col min="15" max="15" width="16" customWidth="1"/>
    <col min="16" max="16" width="12" customWidth="1"/>
  </cols>
  <sheetData>
    <row r="1" spans="1:17" ht="22.35" customHeight="1">
      <c r="A1" s="28" t="s">
        <v>162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"/>
    </row>
    <row r="2" spans="1:17">
      <c r="A2" s="3" t="s">
        <v>163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24" customHeight="1">
      <c r="A4" s="1" t="s">
        <v>164</v>
      </c>
      <c r="B4" s="1" t="s">
        <v>98</v>
      </c>
      <c r="C4" s="1" t="s">
        <v>165</v>
      </c>
      <c r="D4" s="1" t="s">
        <v>166</v>
      </c>
      <c r="E4" s="1" t="s">
        <v>167</v>
      </c>
      <c r="F4" s="1" t="s">
        <v>168</v>
      </c>
      <c r="G4" s="1" t="s">
        <v>169</v>
      </c>
      <c r="H4" s="1" t="s">
        <v>170</v>
      </c>
      <c r="I4" s="1" t="s">
        <v>171</v>
      </c>
      <c r="J4" s="1" t="s">
        <v>106</v>
      </c>
      <c r="K4" s="1" t="s">
        <v>172</v>
      </c>
      <c r="L4" s="1" t="s">
        <v>145</v>
      </c>
      <c r="M4" s="1" t="s">
        <v>146</v>
      </c>
      <c r="N4" s="1" t="s">
        <v>173</v>
      </c>
      <c r="O4" s="1" t="s">
        <v>130</v>
      </c>
      <c r="P4" s="1" t="s">
        <v>174</v>
      </c>
      <c r="Q4" s="2"/>
    </row>
    <row r="5" spans="1:17">
      <c r="A5" s="2" t="s">
        <v>48</v>
      </c>
      <c r="B5" s="10">
        <v>500</v>
      </c>
      <c r="C5" s="10">
        <v>12</v>
      </c>
      <c r="D5" s="10">
        <v>4</v>
      </c>
      <c r="E5" s="10">
        <v>3</v>
      </c>
      <c r="F5" s="16">
        <f>(C5/60)*VLOOKUP("PLA Engineer",Role_Rates!$A$5:$F$14,6,FALSE)</f>
        <v>3.4613333333333332</v>
      </c>
      <c r="G5" s="16">
        <f>(D5/60)*VLOOKUP("GIS Analyst",Role_Rates!$A$5:$F$14,6,FALSE)</f>
        <v>0.44249999999999995</v>
      </c>
      <c r="H5" s="16">
        <f>(E5/60)*VLOOKUP("QA Analyst",Role_Rates!$A$5:$F$14,6,FALSE)</f>
        <v>0.36875000000000002</v>
      </c>
      <c r="I5" s="18">
        <v>0.5</v>
      </c>
      <c r="J5" s="19">
        <f>Assumptions!$B$11</f>
        <v>0.05</v>
      </c>
      <c r="K5" s="19">
        <f>(F5+G5+H5+I5)*(1+J5+Assumptions!$B$9)</f>
        <v>5.2498416666666667</v>
      </c>
      <c r="L5" s="19">
        <f>Assumptions!$B$6</f>
        <v>0.35</v>
      </c>
      <c r="M5" s="19">
        <f>VLOOKUP(B5,Assumptions!$G$5:$H$9,2,TRUE)</f>
        <v>0.03</v>
      </c>
      <c r="N5" s="16">
        <f>(K5/(1-L5))*(1-M5)</f>
        <v>7.8343791025641014</v>
      </c>
      <c r="O5" s="16">
        <f>N5*B5</f>
        <v>3917.1895512820506</v>
      </c>
      <c r="P5" s="19">
        <f>IF(O5=0,0,(O5-K5*B5)/O5)</f>
        <v>0.32989690721649467</v>
      </c>
      <c r="Q5" s="2"/>
    </row>
    <row r="6" spans="1:17">
      <c r="A6" s="2" t="s">
        <v>50</v>
      </c>
      <c r="B6" s="10">
        <v>1500</v>
      </c>
      <c r="C6" s="10">
        <v>20</v>
      </c>
      <c r="D6" s="10">
        <v>5</v>
      </c>
      <c r="E6" s="10">
        <v>4</v>
      </c>
      <c r="F6" s="16">
        <f>(C6/60)*VLOOKUP("PLA Engineer",Role_Rates!$A$5:$F$14,6,FALSE)</f>
        <v>5.7688888888888883</v>
      </c>
      <c r="G6" s="16">
        <f>(D6/60)*VLOOKUP("GIS Analyst",Role_Rates!$A$5:$F$14,6,FALSE)</f>
        <v>0.55312499999999987</v>
      </c>
      <c r="H6" s="16">
        <f>(E6/60)*VLOOKUP("QA Analyst",Role_Rates!$A$5:$F$14,6,FALSE)</f>
        <v>0.49166666666666664</v>
      </c>
      <c r="I6" s="18">
        <v>0.75</v>
      </c>
      <c r="J6" s="19">
        <f>Assumptions!$B$11</f>
        <v>0.05</v>
      </c>
      <c r="K6" s="19">
        <f>(F6+G6+H6+I6)*(1+J6+Assumptions!$B$9)</f>
        <v>8.32004861111111</v>
      </c>
      <c r="L6" s="19">
        <f>Assumptions!$B$6</f>
        <v>0.35</v>
      </c>
      <c r="M6" s="19">
        <f>VLOOKUP(B6,Assumptions!$G$5:$H$9,2,TRUE)</f>
        <v>0.03</v>
      </c>
      <c r="N6" s="16">
        <f>(K6/(1-L6))*(1-M6)</f>
        <v>12.416072542735039</v>
      </c>
      <c r="O6" s="16">
        <f>N6*B6</f>
        <v>18624.108814102558</v>
      </c>
      <c r="P6" s="19">
        <f>IF(O6=0,0,(O6-K6*B6)/O6)</f>
        <v>0.32989690721649473</v>
      </c>
      <c r="Q6" s="2"/>
    </row>
    <row r="7" spans="1:17">
      <c r="A7" s="2" t="s">
        <v>54</v>
      </c>
      <c r="B7" s="10">
        <v>600</v>
      </c>
      <c r="C7" s="10">
        <v>35</v>
      </c>
      <c r="D7" s="10">
        <v>8</v>
      </c>
      <c r="E7" s="10">
        <v>6</v>
      </c>
      <c r="F7" s="16">
        <f>(C7/60)*VLOOKUP("PLA Engineer",Role_Rates!$A$5:$F$14,6,FALSE)</f>
        <v>10.095555555555555</v>
      </c>
      <c r="G7" s="16">
        <f>(D7/60)*VLOOKUP("GIS Analyst",Role_Rates!$A$5:$F$14,6,FALSE)</f>
        <v>0.8849999999999999</v>
      </c>
      <c r="H7" s="16">
        <f>(E7/60)*VLOOKUP("QA Analyst",Role_Rates!$A$5:$F$14,6,FALSE)</f>
        <v>0.73750000000000004</v>
      </c>
      <c r="I7" s="18">
        <v>1.25</v>
      </c>
      <c r="J7" s="19">
        <f>Assumptions!$B$11</f>
        <v>0.05</v>
      </c>
      <c r="K7" s="19">
        <f>(F7+G7+H7+I7)*(1+J7+Assumptions!$B$9)</f>
        <v>14.264861111111111</v>
      </c>
      <c r="L7" s="19">
        <f>Assumptions!$B$6</f>
        <v>0.35</v>
      </c>
      <c r="M7" s="19">
        <f>VLOOKUP(B7,Assumptions!$G$5:$H$9,2,TRUE)</f>
        <v>0.03</v>
      </c>
      <c r="N7" s="16">
        <f>(K7/(1-L7))*(1-M7)</f>
        <v>21.287561965811964</v>
      </c>
      <c r="O7" s="16">
        <f>N7*B7</f>
        <v>12772.537179487179</v>
      </c>
      <c r="P7" s="19">
        <f>IF(O7=0,0,(O7-K7*B7)/O7)</f>
        <v>0.32989690721649484</v>
      </c>
      <c r="Q7" s="2"/>
    </row>
    <row r="8" spans="1:17">
      <c r="A8" s="2" t="s">
        <v>175</v>
      </c>
      <c r="B8" s="10">
        <v>150</v>
      </c>
      <c r="C8" s="10">
        <v>18</v>
      </c>
      <c r="D8" s="10">
        <v>4</v>
      </c>
      <c r="E8" s="10">
        <v>4</v>
      </c>
      <c r="F8" s="16">
        <f>(C8/60)*VLOOKUP("PLA Engineer",Role_Rates!$A$5:$F$14,6,FALSE)</f>
        <v>5.1919999999999993</v>
      </c>
      <c r="G8" s="16">
        <f>(D8/60)*VLOOKUP("GIS Analyst",Role_Rates!$A$5:$F$14,6,FALSE)</f>
        <v>0.44249999999999995</v>
      </c>
      <c r="H8" s="16">
        <f>(E8/60)*VLOOKUP("QA Analyst",Role_Rates!$A$5:$F$14,6,FALSE)</f>
        <v>0.49166666666666664</v>
      </c>
      <c r="I8" s="18">
        <v>0.5</v>
      </c>
      <c r="J8" s="19">
        <f>Assumptions!$B$11</f>
        <v>0.05</v>
      </c>
      <c r="K8" s="19">
        <f>(F8+G8+H8+I8)*(1+J8+Assumptions!$B$9)</f>
        <v>7.2887833333333329</v>
      </c>
      <c r="L8" s="19">
        <f>Assumptions!$B$6</f>
        <v>0.35</v>
      </c>
      <c r="M8" s="19">
        <f>VLOOKUP(B8,Assumptions!$G$5:$H$9,2,TRUE)</f>
        <v>0</v>
      </c>
      <c r="N8" s="16">
        <f>(K8/(1-L8))*(1-M8)</f>
        <v>11.21351282051282</v>
      </c>
      <c r="O8" s="16">
        <f>N8*B8</f>
        <v>1682.0269230769229</v>
      </c>
      <c r="P8" s="19">
        <f>IF(O8=0,0,(O8-K8*B8)/O8)</f>
        <v>0.35000000000000003</v>
      </c>
      <c r="Q8" s="2"/>
    </row>
    <row r="9" spans="1:17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mergeCells count="1">
    <mergeCell ref="A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0"/>
  <sheetViews>
    <sheetView workbookViewId="0"/>
  </sheetViews>
  <sheetFormatPr defaultRowHeight="13.8"/>
  <cols>
    <col min="1" max="1" width="26" customWidth="1"/>
    <col min="2" max="5" width="13" customWidth="1"/>
    <col min="6" max="15" width="14" customWidth="1"/>
    <col min="16" max="16" width="12" customWidth="1"/>
    <col min="17" max="17" width="26" customWidth="1"/>
  </cols>
  <sheetData>
    <row r="1" spans="1:17" ht="22.35" customHeight="1">
      <c r="A1" s="28" t="s">
        <v>176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>
      <c r="A2" s="3" t="s">
        <v>177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24" customHeight="1">
      <c r="A4" s="1" t="s">
        <v>178</v>
      </c>
      <c r="B4" s="1" t="s">
        <v>98</v>
      </c>
      <c r="C4" s="1" t="s">
        <v>179</v>
      </c>
      <c r="D4" s="1" t="s">
        <v>180</v>
      </c>
      <c r="E4" s="1" t="s">
        <v>42</v>
      </c>
      <c r="F4" s="1" t="s">
        <v>181</v>
      </c>
      <c r="G4" s="1" t="s">
        <v>170</v>
      </c>
      <c r="H4" s="1" t="s">
        <v>182</v>
      </c>
      <c r="I4" s="1" t="s">
        <v>183</v>
      </c>
      <c r="J4" s="1" t="s">
        <v>184</v>
      </c>
      <c r="K4" s="1" t="s">
        <v>145</v>
      </c>
      <c r="L4" s="1" t="s">
        <v>146</v>
      </c>
      <c r="M4" s="1" t="s">
        <v>185</v>
      </c>
      <c r="N4" s="1" t="s">
        <v>129</v>
      </c>
      <c r="O4" s="1" t="s">
        <v>130</v>
      </c>
      <c r="P4" s="1" t="s">
        <v>174</v>
      </c>
      <c r="Q4" s="1" t="s">
        <v>186</v>
      </c>
    </row>
    <row r="5" spans="1:17">
      <c r="A5" s="2" t="s">
        <v>187</v>
      </c>
      <c r="B5" s="10">
        <v>3000</v>
      </c>
      <c r="C5" s="10">
        <v>1.8</v>
      </c>
      <c r="D5" s="10">
        <v>0.5</v>
      </c>
      <c r="E5" s="10" t="s">
        <v>50</v>
      </c>
      <c r="F5" s="16">
        <f>(C5/60)*VLOOKUP("LiDAR Analyst",Role_Rates!$A$5:$F$14,6,FALSE)*VLOOKUP(E5,Assumptions!$D$5:$E$8,2,FALSE)</f>
        <v>0.26550000000000001</v>
      </c>
      <c r="G5" s="16">
        <f>(D5/60)*VLOOKUP("QA Analyst",Role_Rates!$A$5:$F$14,6,FALSE)</f>
        <v>6.145833333333333E-2</v>
      </c>
      <c r="H5" s="18">
        <v>0.02</v>
      </c>
      <c r="I5" s="23">
        <v>0.04</v>
      </c>
      <c r="J5" s="19">
        <f>(F5+G5+H5)*(1+I5+Assumptions!$B$11)</f>
        <v>0.37818458333333338</v>
      </c>
      <c r="K5" s="19">
        <f>Assumptions!$B$6</f>
        <v>0.35</v>
      </c>
      <c r="L5" s="19">
        <f>VLOOKUP(B5,Assumptions!$G$5:$H$9,2,TRUE)</f>
        <v>0.05</v>
      </c>
      <c r="M5" s="16">
        <f t="shared" ref="M5:M12" si="0">(J5/(1-K5))*(1-L5)</f>
        <v>0.55273131410256415</v>
      </c>
      <c r="N5" s="16">
        <f t="shared" ref="N5:N12" si="1">J5*B5</f>
        <v>1134.55375</v>
      </c>
      <c r="O5" s="16">
        <f t="shared" ref="O5:O12" si="2">M5*B5</f>
        <v>1658.1939423076924</v>
      </c>
      <c r="P5" s="19">
        <f t="shared" ref="P5:P12" si="3">IF(O5=0,0,(O5-N5)/O5)</f>
        <v>0.31578947368421056</v>
      </c>
      <c r="Q5" s="2" t="s">
        <v>188</v>
      </c>
    </row>
    <row r="6" spans="1:17">
      <c r="A6" s="2" t="s">
        <v>189</v>
      </c>
      <c r="B6" s="10">
        <v>800</v>
      </c>
      <c r="C6" s="10">
        <v>2.2000000000000002</v>
      </c>
      <c r="D6" s="10">
        <v>0.6</v>
      </c>
      <c r="E6" s="10" t="s">
        <v>52</v>
      </c>
      <c r="F6" s="16">
        <f>(C6/60)*VLOOKUP("LiDAR Analyst",Role_Rates!$A$5:$F$14,6,FALSE)*VLOOKUP(E6,Assumptions!$D$5:$E$8,2,FALSE)</f>
        <v>0.40562500000000001</v>
      </c>
      <c r="G6" s="16">
        <f>(D6/60)*VLOOKUP("QA Analyst",Role_Rates!$A$5:$F$14,6,FALSE)</f>
        <v>7.3749999999999996E-2</v>
      </c>
      <c r="H6" s="18">
        <v>0.03</v>
      </c>
      <c r="I6" s="23">
        <v>0.05</v>
      </c>
      <c r="J6" s="19">
        <f>(F6+G6+H6)*(1+I6+Assumptions!$B$11)</f>
        <v>0.5603125000000001</v>
      </c>
      <c r="K6" s="19">
        <f>Assumptions!$B$6</f>
        <v>0.35</v>
      </c>
      <c r="L6" s="19">
        <f>VLOOKUP(B6,Assumptions!$G$5:$H$9,2,TRUE)</f>
        <v>0.03</v>
      </c>
      <c r="M6" s="16">
        <f t="shared" si="0"/>
        <v>0.83615865384615395</v>
      </c>
      <c r="N6" s="16">
        <f t="shared" si="1"/>
        <v>448.25000000000006</v>
      </c>
      <c r="O6" s="16">
        <f t="shared" si="2"/>
        <v>668.92692307692312</v>
      </c>
      <c r="P6" s="19">
        <f t="shared" si="3"/>
        <v>0.32989690721649478</v>
      </c>
      <c r="Q6" s="2" t="s">
        <v>190</v>
      </c>
    </row>
    <row r="7" spans="1:17">
      <c r="A7" s="2" t="s">
        <v>191</v>
      </c>
      <c r="B7" s="10">
        <v>3500</v>
      </c>
      <c r="C7" s="10">
        <v>1.5</v>
      </c>
      <c r="D7" s="10">
        <v>0.5</v>
      </c>
      <c r="E7" s="10" t="s">
        <v>52</v>
      </c>
      <c r="F7" s="16">
        <f>(C7/60)*VLOOKUP("LiDAR Analyst",Role_Rates!$A$5:$F$14,6,FALSE)*VLOOKUP(E7,Assumptions!$D$5:$E$8,2,FALSE)</f>
        <v>0.27656249999999999</v>
      </c>
      <c r="G7" s="16">
        <f>(D7/60)*VLOOKUP("QA Analyst",Role_Rates!$A$5:$F$14,6,FALSE)</f>
        <v>6.145833333333333E-2</v>
      </c>
      <c r="H7" s="18">
        <v>0.02</v>
      </c>
      <c r="I7" s="23">
        <v>0.05</v>
      </c>
      <c r="J7" s="19">
        <f>(F7+G7+H7)*(1+I7+Assumptions!$B$11)</f>
        <v>0.39382291666666669</v>
      </c>
      <c r="K7" s="19">
        <f>Assumptions!$B$6</f>
        <v>0.35</v>
      </c>
      <c r="L7" s="19">
        <f>VLOOKUP(B7,Assumptions!$G$5:$H$9,2,TRUE)</f>
        <v>0.05</v>
      </c>
      <c r="M7" s="16">
        <f t="shared" si="0"/>
        <v>0.57558733974358978</v>
      </c>
      <c r="N7" s="16">
        <f t="shared" si="1"/>
        <v>1378.3802083333335</v>
      </c>
      <c r="O7" s="16">
        <f t="shared" si="2"/>
        <v>2014.5556891025642</v>
      </c>
      <c r="P7" s="19">
        <f t="shared" si="3"/>
        <v>0.31578947368421051</v>
      </c>
      <c r="Q7" s="2" t="s">
        <v>192</v>
      </c>
    </row>
    <row r="8" spans="1:17">
      <c r="A8" s="2" t="s">
        <v>193</v>
      </c>
      <c r="B8" s="10">
        <v>5000</v>
      </c>
      <c r="C8" s="10">
        <v>1.2</v>
      </c>
      <c r="D8" s="10">
        <v>0.4</v>
      </c>
      <c r="E8" s="10" t="s">
        <v>54</v>
      </c>
      <c r="F8" s="16">
        <f>(C8/60)*VLOOKUP("LiDAR Analyst",Role_Rates!$A$5:$F$14,6,FALSE)*VLOOKUP(E8,Assumptions!$D$5:$E$8,2,FALSE)</f>
        <v>0.28320000000000001</v>
      </c>
      <c r="G8" s="16">
        <f>(D8/60)*VLOOKUP("QA Analyst",Role_Rates!$A$5:$F$14,6,FALSE)</f>
        <v>4.9166666666666671E-2</v>
      </c>
      <c r="H8" s="18">
        <v>0.02</v>
      </c>
      <c r="I8" s="23">
        <v>0.06</v>
      </c>
      <c r="J8" s="19">
        <f>(F8+G8+H8)*(1+I8+Assumptions!$B$11)</f>
        <v>0.39112700000000011</v>
      </c>
      <c r="K8" s="19">
        <f>Assumptions!$B$6</f>
        <v>0.35</v>
      </c>
      <c r="L8" s="19">
        <f>VLOOKUP(B8,Assumptions!$G$5:$H$9,2,TRUE)</f>
        <v>0.08</v>
      </c>
      <c r="M8" s="16">
        <f t="shared" si="0"/>
        <v>0.55359513846153863</v>
      </c>
      <c r="N8" s="16">
        <f t="shared" si="1"/>
        <v>1955.6350000000007</v>
      </c>
      <c r="O8" s="16">
        <f t="shared" si="2"/>
        <v>2767.975692307693</v>
      </c>
      <c r="P8" s="19">
        <f t="shared" si="3"/>
        <v>0.29347826086956513</v>
      </c>
      <c r="Q8" s="2" t="s">
        <v>194</v>
      </c>
    </row>
    <row r="9" spans="1:17">
      <c r="A9" s="2" t="s">
        <v>195</v>
      </c>
      <c r="B9" s="10">
        <v>2500</v>
      </c>
      <c r="C9" s="10">
        <v>1</v>
      </c>
      <c r="D9" s="10">
        <v>0.3</v>
      </c>
      <c r="E9" s="10" t="s">
        <v>50</v>
      </c>
      <c r="F9" s="16">
        <f>(C9/60)*VLOOKUP("LiDAR Analyst",Role_Rates!$A$5:$F$14,6,FALSE)*VLOOKUP(E9,Assumptions!$D$5:$E$8,2,FALSE)</f>
        <v>0.14749999999999999</v>
      </c>
      <c r="G9" s="16">
        <f>(D9/60)*VLOOKUP("QA Analyst",Role_Rates!$A$5:$F$14,6,FALSE)</f>
        <v>3.6874999999999998E-2</v>
      </c>
      <c r="H9" s="18">
        <v>0.01</v>
      </c>
      <c r="I9" s="23">
        <v>0.04</v>
      </c>
      <c r="J9" s="19">
        <f>(F9+G9+H9)*(1+I9+Assumptions!$B$11)</f>
        <v>0.21186874999999999</v>
      </c>
      <c r="K9" s="19">
        <f>Assumptions!$B$6</f>
        <v>0.35</v>
      </c>
      <c r="L9" s="19">
        <f>VLOOKUP(B9,Assumptions!$G$5:$H$9,2,TRUE)</f>
        <v>0.05</v>
      </c>
      <c r="M9" s="16">
        <f t="shared" si="0"/>
        <v>0.30965432692307687</v>
      </c>
      <c r="N9" s="16">
        <f t="shared" si="1"/>
        <v>529.671875</v>
      </c>
      <c r="O9" s="16">
        <f t="shared" si="2"/>
        <v>774.13581730769215</v>
      </c>
      <c r="P9" s="19">
        <f t="shared" si="3"/>
        <v>0.3157894736842104</v>
      </c>
      <c r="Q9" s="2" t="s">
        <v>188</v>
      </c>
    </row>
    <row r="10" spans="1:17">
      <c r="A10" s="2" t="s">
        <v>196</v>
      </c>
      <c r="B10" s="10">
        <v>1200</v>
      </c>
      <c r="C10" s="10">
        <v>1.4</v>
      </c>
      <c r="D10" s="10">
        <v>0.4</v>
      </c>
      <c r="E10" s="10" t="s">
        <v>52</v>
      </c>
      <c r="F10" s="16">
        <f>(C10/60)*VLOOKUP("LiDAR Analyst",Role_Rates!$A$5:$F$14,6,FALSE)*VLOOKUP(E10,Assumptions!$D$5:$E$8,2,FALSE)</f>
        <v>0.25812499999999994</v>
      </c>
      <c r="G10" s="16">
        <f>(D10/60)*VLOOKUP("QA Analyst",Role_Rates!$A$5:$F$14,6,FALSE)</f>
        <v>4.9166666666666671E-2</v>
      </c>
      <c r="H10" s="18">
        <v>0.01</v>
      </c>
      <c r="I10" s="23">
        <v>0.04</v>
      </c>
      <c r="J10" s="19">
        <f>(F10+G10+H10)*(1+I10+Assumptions!$B$11)</f>
        <v>0.34584791666666664</v>
      </c>
      <c r="K10" s="19">
        <f>Assumptions!$B$6</f>
        <v>0.35</v>
      </c>
      <c r="L10" s="19">
        <f>VLOOKUP(B10,Assumptions!$G$5:$H$9,2,TRUE)</f>
        <v>0.03</v>
      </c>
      <c r="M10" s="16">
        <f t="shared" si="0"/>
        <v>0.51611150641025638</v>
      </c>
      <c r="N10" s="16">
        <f t="shared" si="1"/>
        <v>415.01749999999998</v>
      </c>
      <c r="O10" s="16">
        <f t="shared" si="2"/>
        <v>619.33380769230769</v>
      </c>
      <c r="P10" s="19">
        <f t="shared" si="3"/>
        <v>0.32989690721649484</v>
      </c>
      <c r="Q10" s="2" t="s">
        <v>197</v>
      </c>
    </row>
    <row r="11" spans="1:17">
      <c r="A11" s="2" t="s">
        <v>198</v>
      </c>
      <c r="B11" s="10">
        <v>700</v>
      </c>
      <c r="C11" s="10">
        <v>2.8</v>
      </c>
      <c r="D11" s="10">
        <v>0.8</v>
      </c>
      <c r="E11" s="10" t="s">
        <v>54</v>
      </c>
      <c r="F11" s="16">
        <f>(C11/60)*VLOOKUP("LiDAR Analyst",Role_Rates!$A$5:$F$14,6,FALSE)*VLOOKUP(E11,Assumptions!$D$5:$E$8,2,FALSE)</f>
        <v>0.66079999999999994</v>
      </c>
      <c r="G11" s="16">
        <f>(D11/60)*VLOOKUP("QA Analyst",Role_Rates!$A$5:$F$14,6,FALSE)</f>
        <v>9.8333333333333342E-2</v>
      </c>
      <c r="H11" s="18">
        <v>0.05</v>
      </c>
      <c r="I11" s="23">
        <v>0.08</v>
      </c>
      <c r="J11" s="19">
        <f>(F11+G11+H11)*(1+I11+Assumptions!$B$11)</f>
        <v>0.91432066666666678</v>
      </c>
      <c r="K11" s="19">
        <f>Assumptions!$B$6</f>
        <v>0.35</v>
      </c>
      <c r="L11" s="19">
        <f>VLOOKUP(B11,Assumptions!$G$5:$H$9,2,TRUE)</f>
        <v>0.03</v>
      </c>
      <c r="M11" s="16">
        <f t="shared" si="0"/>
        <v>1.3644477641025641</v>
      </c>
      <c r="N11" s="16">
        <f t="shared" si="1"/>
        <v>640.02446666666674</v>
      </c>
      <c r="O11" s="16">
        <f t="shared" si="2"/>
        <v>955.11343487179488</v>
      </c>
      <c r="P11" s="19">
        <f t="shared" si="3"/>
        <v>0.32989690721649478</v>
      </c>
      <c r="Q11" s="2" t="s">
        <v>199</v>
      </c>
    </row>
    <row r="12" spans="1:17">
      <c r="A12" s="2" t="s">
        <v>200</v>
      </c>
      <c r="B12" s="10">
        <v>900</v>
      </c>
      <c r="C12" s="10">
        <v>2.5</v>
      </c>
      <c r="D12" s="10">
        <v>0.7</v>
      </c>
      <c r="E12" s="10" t="s">
        <v>52</v>
      </c>
      <c r="F12" s="16">
        <f>(C12/60)*VLOOKUP("LiDAR Analyst",Role_Rates!$A$5:$F$14,6,FALSE)*VLOOKUP(E12,Assumptions!$D$5:$E$8,2,FALSE)</f>
        <v>0.46093749999999994</v>
      </c>
      <c r="G12" s="16">
        <f>(D12/60)*VLOOKUP("QA Analyst",Role_Rates!$A$5:$F$14,6,FALSE)</f>
        <v>8.6041666666666655E-2</v>
      </c>
      <c r="H12" s="18">
        <v>0.04</v>
      </c>
      <c r="I12" s="23">
        <v>0.05</v>
      </c>
      <c r="J12" s="19">
        <f>(F12+G12+H12)*(1+I12+Assumptions!$B$11)</f>
        <v>0.64567708333333329</v>
      </c>
      <c r="K12" s="19">
        <f>Assumptions!$B$6</f>
        <v>0.35</v>
      </c>
      <c r="L12" s="19">
        <f>VLOOKUP(B12,Assumptions!$G$5:$H$9,2,TRUE)</f>
        <v>0.03</v>
      </c>
      <c r="M12" s="16">
        <f t="shared" si="0"/>
        <v>0.96354887820512802</v>
      </c>
      <c r="N12" s="16">
        <f t="shared" si="1"/>
        <v>581.109375</v>
      </c>
      <c r="O12" s="16">
        <f t="shared" si="2"/>
        <v>867.19399038461518</v>
      </c>
      <c r="P12" s="19">
        <f t="shared" si="3"/>
        <v>0.32989690721649467</v>
      </c>
      <c r="Q12" s="2" t="s">
        <v>201</v>
      </c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mergeCells count="1">
    <mergeCell ref="A1:Q1"/>
  </mergeCells>
  <dataValidations count="1">
    <dataValidation type="list" sqref="E5:E12" xr:uid="{00000000-0002-0000-0700-000000000000}">
      <formula1>"Simple,Standard,Medium,Complex"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40"/>
  <sheetViews>
    <sheetView workbookViewId="0"/>
  </sheetViews>
  <sheetFormatPr defaultRowHeight="13.8"/>
  <cols>
    <col min="1" max="1" width="30" customWidth="1"/>
    <col min="2" max="2" width="14" customWidth="1"/>
    <col min="3" max="3" width="12" customWidth="1"/>
    <col min="4" max="4" width="20" customWidth="1"/>
    <col min="5" max="14" width="14" customWidth="1"/>
    <col min="15" max="15" width="12" customWidth="1"/>
  </cols>
  <sheetData>
    <row r="1" spans="1:17" ht="22.35" customHeight="1">
      <c r="A1" s="28" t="s">
        <v>202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"/>
      <c r="Q1" s="2"/>
    </row>
    <row r="2" spans="1:17">
      <c r="A2" s="3" t="s">
        <v>203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24" customHeight="1">
      <c r="A4" s="1" t="s">
        <v>204</v>
      </c>
      <c r="B4" s="1" t="s">
        <v>139</v>
      </c>
      <c r="C4" s="1" t="s">
        <v>98</v>
      </c>
      <c r="D4" s="1" t="s">
        <v>66</v>
      </c>
      <c r="E4" s="1" t="s">
        <v>205</v>
      </c>
      <c r="F4" s="1" t="s">
        <v>42</v>
      </c>
      <c r="G4" s="1" t="s">
        <v>141</v>
      </c>
      <c r="H4" s="1" t="s">
        <v>206</v>
      </c>
      <c r="I4" s="1" t="s">
        <v>143</v>
      </c>
      <c r="J4" s="1" t="s">
        <v>144</v>
      </c>
      <c r="K4" s="1" t="s">
        <v>145</v>
      </c>
      <c r="L4" s="1" t="s">
        <v>147</v>
      </c>
      <c r="M4" s="1" t="s">
        <v>129</v>
      </c>
      <c r="N4" s="1" t="s">
        <v>130</v>
      </c>
      <c r="O4" s="1" t="s">
        <v>174</v>
      </c>
      <c r="P4" s="2"/>
      <c r="Q4" s="2"/>
    </row>
    <row r="5" spans="1:17">
      <c r="A5" s="2" t="s">
        <v>207</v>
      </c>
      <c r="B5" s="10" t="s">
        <v>208</v>
      </c>
      <c r="C5" s="10">
        <v>5000</v>
      </c>
      <c r="D5" s="10" t="s">
        <v>74</v>
      </c>
      <c r="E5" s="10">
        <v>18</v>
      </c>
      <c r="F5" s="10" t="s">
        <v>50</v>
      </c>
      <c r="G5" s="16">
        <f>(1/E5)*VLOOKUP(D5,Role_Rates!$A$5:$F$14,6,FALSE)*VLOOKUP(F5,Assumptions!$D$5:$E$8,2,FALSE)</f>
        <v>0.36874999999999997</v>
      </c>
      <c r="H5" s="18">
        <v>0.02</v>
      </c>
      <c r="I5" s="23">
        <v>0.1</v>
      </c>
      <c r="J5" s="19">
        <f>(G5+H5)*(1+I5+Assumptions!$B$9+Assumptions!$B$11)</f>
        <v>0.46650000000000003</v>
      </c>
      <c r="K5" s="19">
        <f>Assumptions!$B$6</f>
        <v>0.35</v>
      </c>
      <c r="L5" s="16">
        <f t="shared" ref="L5:L13" si="0">J5/(1-K5)</f>
        <v>0.71769230769230774</v>
      </c>
      <c r="M5" s="16">
        <f t="shared" ref="M5:M13" si="1">J5*C5</f>
        <v>2332.5</v>
      </c>
      <c r="N5" s="16">
        <f t="shared" ref="N5:N13" si="2">L5*C5</f>
        <v>3588.4615384615386</v>
      </c>
      <c r="O5" s="19">
        <f t="shared" ref="O5:O13" si="3">IF(N5=0,0,(N5-M5)/N5)</f>
        <v>0.35000000000000003</v>
      </c>
      <c r="P5" s="2"/>
      <c r="Q5" s="2"/>
    </row>
    <row r="6" spans="1:17">
      <c r="A6" s="2" t="s">
        <v>209</v>
      </c>
      <c r="B6" s="10" t="s">
        <v>210</v>
      </c>
      <c r="C6" s="10">
        <v>10000</v>
      </c>
      <c r="D6" s="10" t="s">
        <v>74</v>
      </c>
      <c r="E6" s="10">
        <v>24</v>
      </c>
      <c r="F6" s="10" t="s">
        <v>50</v>
      </c>
      <c r="G6" s="16">
        <f>(1/E6)*VLOOKUP(D6,Role_Rates!$A$5:$F$14,6,FALSE)*VLOOKUP(F6,Assumptions!$D$5:$E$8,2,FALSE)</f>
        <v>0.27656249999999993</v>
      </c>
      <c r="H6" s="18">
        <v>0.01</v>
      </c>
      <c r="I6" s="23">
        <v>0.1</v>
      </c>
      <c r="J6" s="19">
        <f>(G6+H6)*(1+I6+Assumptions!$B$9+Assumptions!$B$11)</f>
        <v>0.34387499999999999</v>
      </c>
      <c r="K6" s="19">
        <f>Assumptions!$B$6</f>
        <v>0.35</v>
      </c>
      <c r="L6" s="16">
        <f t="shared" si="0"/>
        <v>0.52903846153846146</v>
      </c>
      <c r="M6" s="16">
        <f t="shared" si="1"/>
        <v>3438.75</v>
      </c>
      <c r="N6" s="16">
        <f t="shared" si="2"/>
        <v>5290.3846153846143</v>
      </c>
      <c r="O6" s="19">
        <f t="shared" si="3"/>
        <v>0.34999999999999987</v>
      </c>
      <c r="P6" s="2"/>
      <c r="Q6" s="2"/>
    </row>
    <row r="7" spans="1:17">
      <c r="A7" s="2" t="s">
        <v>211</v>
      </c>
      <c r="B7" s="10" t="s">
        <v>212</v>
      </c>
      <c r="C7" s="10">
        <v>1200</v>
      </c>
      <c r="D7" s="10" t="s">
        <v>74</v>
      </c>
      <c r="E7" s="10">
        <v>3.5</v>
      </c>
      <c r="F7" s="10" t="s">
        <v>52</v>
      </c>
      <c r="G7" s="16">
        <f>(1/E7)*VLOOKUP(D7,Role_Rates!$A$5:$F$14,6,FALSE)*VLOOKUP(F7,Assumptions!$D$5:$E$8,2,FALSE)</f>
        <v>2.370535714285714</v>
      </c>
      <c r="H7" s="18">
        <v>0.1</v>
      </c>
      <c r="I7" s="23">
        <v>0.15</v>
      </c>
      <c r="J7" s="19">
        <f>(G7+H7)*(1+I7+Assumptions!$B$9+Assumptions!$B$11)</f>
        <v>3.0881696428571423</v>
      </c>
      <c r="K7" s="19">
        <f>Assumptions!$B$6</f>
        <v>0.35</v>
      </c>
      <c r="L7" s="16">
        <f t="shared" si="0"/>
        <v>4.751030219780219</v>
      </c>
      <c r="M7" s="16">
        <f t="shared" si="1"/>
        <v>3705.8035714285706</v>
      </c>
      <c r="N7" s="16">
        <f t="shared" si="2"/>
        <v>5701.236263736263</v>
      </c>
      <c r="O7" s="19">
        <f t="shared" si="3"/>
        <v>0.35000000000000003</v>
      </c>
      <c r="P7" s="2"/>
      <c r="Q7" s="2"/>
    </row>
    <row r="8" spans="1:17">
      <c r="A8" s="2" t="s">
        <v>213</v>
      </c>
      <c r="B8" s="10" t="s">
        <v>214</v>
      </c>
      <c r="C8" s="10">
        <v>8000</v>
      </c>
      <c r="D8" s="10" t="s">
        <v>74</v>
      </c>
      <c r="E8" s="10">
        <v>10</v>
      </c>
      <c r="F8" s="10" t="s">
        <v>52</v>
      </c>
      <c r="G8" s="16">
        <f>(1/E8)*VLOOKUP(D8,Role_Rates!$A$5:$F$14,6,FALSE)*VLOOKUP(F8,Assumptions!$D$5:$E$8,2,FALSE)</f>
        <v>0.82968749999999991</v>
      </c>
      <c r="H8" s="18">
        <v>0.02</v>
      </c>
      <c r="I8" s="23">
        <v>0.15</v>
      </c>
      <c r="J8" s="19">
        <f>(G8+H8)*(1+I8+Assumptions!$B$9+Assumptions!$B$11)</f>
        <v>1.0621093749999999</v>
      </c>
      <c r="K8" s="19">
        <f>Assumptions!$B$6</f>
        <v>0.35</v>
      </c>
      <c r="L8" s="16">
        <f t="shared" si="0"/>
        <v>1.6340144230769229</v>
      </c>
      <c r="M8" s="16">
        <f t="shared" si="1"/>
        <v>8496.875</v>
      </c>
      <c r="N8" s="16">
        <f t="shared" si="2"/>
        <v>13072.115384615383</v>
      </c>
      <c r="O8" s="19">
        <f t="shared" si="3"/>
        <v>0.34999999999999992</v>
      </c>
      <c r="P8" s="2"/>
      <c r="Q8" s="2"/>
    </row>
    <row r="9" spans="1:17">
      <c r="A9" s="2" t="s">
        <v>215</v>
      </c>
      <c r="B9" s="10" t="s">
        <v>216</v>
      </c>
      <c r="C9" s="10">
        <v>120</v>
      </c>
      <c r="D9" s="10" t="s">
        <v>77</v>
      </c>
      <c r="E9" s="10">
        <v>0.2</v>
      </c>
      <c r="F9" s="10" t="s">
        <v>54</v>
      </c>
      <c r="G9" s="16">
        <f>(1/E9)*VLOOKUP(D9,Role_Rates!$A$5:$F$14,6,FALSE)*VLOOKUP(F9,Assumptions!$D$5:$E$8,2,FALSE)</f>
        <v>76.7</v>
      </c>
      <c r="H9" s="18">
        <v>4</v>
      </c>
      <c r="I9" s="23">
        <v>0.2</v>
      </c>
      <c r="J9" s="19">
        <f>(G9+H9)*(1+I9+Assumptions!$B$9+Assumptions!$B$11)</f>
        <v>104.91000000000001</v>
      </c>
      <c r="K9" s="19">
        <f>Assumptions!$B$6</f>
        <v>0.35</v>
      </c>
      <c r="L9" s="16">
        <f t="shared" si="0"/>
        <v>161.4</v>
      </c>
      <c r="M9" s="16">
        <f t="shared" si="1"/>
        <v>12589.2</v>
      </c>
      <c r="N9" s="16">
        <f t="shared" si="2"/>
        <v>19368</v>
      </c>
      <c r="O9" s="19">
        <f t="shared" si="3"/>
        <v>0.35</v>
      </c>
      <c r="P9" s="2"/>
      <c r="Q9" s="2"/>
    </row>
    <row r="10" spans="1:17">
      <c r="A10" s="2" t="s">
        <v>217</v>
      </c>
      <c r="B10" s="10" t="s">
        <v>216</v>
      </c>
      <c r="C10" s="10">
        <v>250</v>
      </c>
      <c r="D10" s="10" t="s">
        <v>81</v>
      </c>
      <c r="E10" s="10">
        <v>0.45</v>
      </c>
      <c r="F10" s="10" t="s">
        <v>54</v>
      </c>
      <c r="G10" s="16">
        <f>(1/E10)*VLOOKUP(D10,Role_Rates!$A$5:$F$14,6,FALSE)*VLOOKUP(F10,Assumptions!$D$5:$E$8,2,FALSE)</f>
        <v>31.466666666666669</v>
      </c>
      <c r="H10" s="18">
        <v>1.5</v>
      </c>
      <c r="I10" s="23">
        <v>0.2</v>
      </c>
      <c r="J10" s="19">
        <f>(G10+H10)*(1+I10+Assumptions!$B$9+Assumptions!$B$11)</f>
        <v>42.856666666666669</v>
      </c>
      <c r="K10" s="19">
        <f>Assumptions!$B$6</f>
        <v>0.35</v>
      </c>
      <c r="L10" s="16">
        <f t="shared" si="0"/>
        <v>65.933333333333337</v>
      </c>
      <c r="M10" s="16">
        <f t="shared" si="1"/>
        <v>10714.166666666668</v>
      </c>
      <c r="N10" s="16">
        <f t="shared" si="2"/>
        <v>16483.333333333336</v>
      </c>
      <c r="O10" s="19">
        <f t="shared" si="3"/>
        <v>0.35000000000000003</v>
      </c>
      <c r="P10" s="2"/>
      <c r="Q10" s="2"/>
    </row>
    <row r="11" spans="1:17">
      <c r="A11" s="2" t="s">
        <v>218</v>
      </c>
      <c r="B11" s="10" t="s">
        <v>216</v>
      </c>
      <c r="C11" s="10">
        <v>180</v>
      </c>
      <c r="D11" s="10" t="s">
        <v>79</v>
      </c>
      <c r="E11" s="10">
        <v>0.8</v>
      </c>
      <c r="F11" s="10" t="s">
        <v>52</v>
      </c>
      <c r="G11" s="16">
        <f>(1/E11)*VLOOKUP(D11,Role_Rates!$A$5:$F$14,6,FALSE)*VLOOKUP(F11,Assumptions!$D$5:$E$8,2,FALSE)</f>
        <v>11.5234375</v>
      </c>
      <c r="H11" s="18">
        <v>1</v>
      </c>
      <c r="I11" s="23">
        <v>0.15</v>
      </c>
      <c r="J11" s="19">
        <f>(G11+H11)*(1+I11+Assumptions!$B$9+Assumptions!$B$11)</f>
        <v>15.654296875</v>
      </c>
      <c r="K11" s="19">
        <f>Assumptions!$B$6</f>
        <v>0.35</v>
      </c>
      <c r="L11" s="16">
        <f t="shared" si="0"/>
        <v>24.083533653846153</v>
      </c>
      <c r="M11" s="16">
        <f t="shared" si="1"/>
        <v>2817.7734375</v>
      </c>
      <c r="N11" s="16">
        <f t="shared" si="2"/>
        <v>4335.0360576923076</v>
      </c>
      <c r="O11" s="19">
        <f t="shared" si="3"/>
        <v>0.35</v>
      </c>
      <c r="P11" s="2"/>
      <c r="Q11" s="2"/>
    </row>
    <row r="12" spans="1:17">
      <c r="A12" s="2" t="s">
        <v>219</v>
      </c>
      <c r="B12" s="10" t="s">
        <v>220</v>
      </c>
      <c r="C12" s="10">
        <v>15000</v>
      </c>
      <c r="D12" s="10" t="s">
        <v>89</v>
      </c>
      <c r="E12" s="10">
        <v>80</v>
      </c>
      <c r="F12" s="10" t="s">
        <v>50</v>
      </c>
      <c r="G12" s="16">
        <f>(1/E12)*VLOOKUP(D12,Role_Rates!$A$5:$F$14,6,FALSE)*VLOOKUP(F12,Assumptions!$D$5:$E$8,2,FALSE)</f>
        <v>6.7045454545454561E-2</v>
      </c>
      <c r="H12" s="18">
        <v>5.0000000000000001E-3</v>
      </c>
      <c r="I12" s="23">
        <v>0.1</v>
      </c>
      <c r="J12" s="19">
        <f>(G12+H12)*(1+I12+Assumptions!$B$9+Assumptions!$B$11)</f>
        <v>8.6454545454545492E-2</v>
      </c>
      <c r="K12" s="19">
        <f>Assumptions!$B$6</f>
        <v>0.35</v>
      </c>
      <c r="L12" s="16">
        <f t="shared" si="0"/>
        <v>0.13300699300699306</v>
      </c>
      <c r="M12" s="16">
        <f t="shared" si="1"/>
        <v>1296.8181818181824</v>
      </c>
      <c r="N12" s="16">
        <f t="shared" si="2"/>
        <v>1995.1048951048958</v>
      </c>
      <c r="O12" s="19">
        <f t="shared" si="3"/>
        <v>0.34999999999999992</v>
      </c>
      <c r="P12" s="2"/>
      <c r="Q12" s="2"/>
    </row>
    <row r="13" spans="1:17">
      <c r="A13" s="2" t="s">
        <v>221</v>
      </c>
      <c r="B13" s="10" t="s">
        <v>222</v>
      </c>
      <c r="C13" s="10">
        <v>3000</v>
      </c>
      <c r="D13" s="10" t="s">
        <v>79</v>
      </c>
      <c r="E13" s="10">
        <v>15</v>
      </c>
      <c r="F13" s="10" t="s">
        <v>50</v>
      </c>
      <c r="G13" s="16">
        <f>(1/E13)*VLOOKUP(D13,Role_Rates!$A$5:$F$14,6,FALSE)*VLOOKUP(F13,Assumptions!$D$5:$E$8,2,FALSE)</f>
        <v>0.49166666666666664</v>
      </c>
      <c r="H13" s="18">
        <v>0.01</v>
      </c>
      <c r="I13" s="23">
        <v>0.1</v>
      </c>
      <c r="J13" s="19">
        <f>(G13+H13)*(1+I13+Assumptions!$B$9+Assumptions!$B$11)</f>
        <v>0.60199999999999998</v>
      </c>
      <c r="K13" s="19">
        <f>Assumptions!$B$6</f>
        <v>0.35</v>
      </c>
      <c r="L13" s="16">
        <f t="shared" si="0"/>
        <v>0.92615384615384611</v>
      </c>
      <c r="M13" s="16">
        <f t="shared" si="1"/>
        <v>1806</v>
      </c>
      <c r="N13" s="16">
        <f t="shared" si="2"/>
        <v>2778.4615384615381</v>
      </c>
      <c r="O13" s="19">
        <f t="shared" si="3"/>
        <v>0.34999999999999992</v>
      </c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mergeCells count="1">
    <mergeCell ref="A1:O1"/>
  </mergeCells>
  <dataValidations count="1">
    <dataValidation type="list" sqref="F5:F13" xr:uid="{00000000-0002-0000-0800-000000000000}">
      <formula1>"Simple,Standard,Medium,Complex"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40"/>
  <sheetViews>
    <sheetView workbookViewId="0"/>
  </sheetViews>
  <sheetFormatPr defaultRowHeight="13.8"/>
  <cols>
    <col min="1" max="1" width="30" customWidth="1"/>
    <col min="2" max="2" width="12" customWidth="1"/>
    <col min="3" max="4" width="13" customWidth="1"/>
    <col min="5" max="8" width="17" customWidth="1"/>
    <col min="9" max="15" width="14" customWidth="1"/>
    <col min="16" max="16" width="30" customWidth="1"/>
  </cols>
  <sheetData>
    <row r="1" spans="1:17" ht="22.35" customHeight="1">
      <c r="A1" s="28" t="s">
        <v>223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"/>
    </row>
    <row r="2" spans="1:17">
      <c r="A2" s="3" t="s">
        <v>224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24" customHeight="1">
      <c r="A4" s="1" t="s">
        <v>97</v>
      </c>
      <c r="B4" s="1" t="s">
        <v>139</v>
      </c>
      <c r="C4" s="1" t="s">
        <v>98</v>
      </c>
      <c r="D4" s="1" t="s">
        <v>225</v>
      </c>
      <c r="E4" s="1" t="s">
        <v>226</v>
      </c>
      <c r="F4" s="1" t="s">
        <v>227</v>
      </c>
      <c r="G4" s="1" t="s">
        <v>228</v>
      </c>
      <c r="H4" s="1" t="s">
        <v>229</v>
      </c>
      <c r="I4" s="1" t="s">
        <v>57</v>
      </c>
      <c r="J4" s="1" t="s">
        <v>144</v>
      </c>
      <c r="K4" s="1" t="s">
        <v>145</v>
      </c>
      <c r="L4" s="1" t="s">
        <v>147</v>
      </c>
      <c r="M4" s="1" t="s">
        <v>129</v>
      </c>
      <c r="N4" s="1" t="s">
        <v>130</v>
      </c>
      <c r="O4" s="1" t="s">
        <v>174</v>
      </c>
      <c r="P4" s="1" t="s">
        <v>73</v>
      </c>
      <c r="Q4" s="2"/>
    </row>
    <row r="5" spans="1:17">
      <c r="A5" s="2" t="s">
        <v>230</v>
      </c>
      <c r="B5" s="10" t="s">
        <v>212</v>
      </c>
      <c r="C5" s="10">
        <v>1200</v>
      </c>
      <c r="D5" s="10">
        <v>0.1</v>
      </c>
      <c r="E5" s="13">
        <v>55</v>
      </c>
      <c r="F5" s="13">
        <v>0.35</v>
      </c>
      <c r="G5" s="13">
        <v>0.1</v>
      </c>
      <c r="H5" s="13">
        <v>0.08</v>
      </c>
      <c r="I5" s="12">
        <v>0.05</v>
      </c>
      <c r="J5" s="19">
        <f>D5*E5+F5+G5+H5</f>
        <v>6.0299999999999994</v>
      </c>
      <c r="K5" s="19">
        <f>Assumptions!$B$6</f>
        <v>0.35</v>
      </c>
      <c r="L5" s="16">
        <f>(J5*(1+I5))/(1-K5)</f>
        <v>9.7407692307692297</v>
      </c>
      <c r="M5" s="16">
        <f>J5*C5</f>
        <v>7235.9999999999991</v>
      </c>
      <c r="N5" s="16">
        <f>L5*C5</f>
        <v>11688.923076923076</v>
      </c>
      <c r="O5" s="19">
        <f>IF(N5=0,0,(N5-M5)/N5)</f>
        <v>0.38095238095238099</v>
      </c>
      <c r="P5" s="2" t="s">
        <v>231</v>
      </c>
      <c r="Q5" s="2"/>
    </row>
    <row r="6" spans="1:17">
      <c r="A6" s="2" t="s">
        <v>232</v>
      </c>
      <c r="B6" s="10" t="s">
        <v>152</v>
      </c>
      <c r="C6" s="10">
        <v>2500</v>
      </c>
      <c r="D6" s="10">
        <v>0.08</v>
      </c>
      <c r="E6" s="13">
        <v>55</v>
      </c>
      <c r="F6" s="13">
        <v>0.2</v>
      </c>
      <c r="G6" s="13">
        <v>0.05</v>
      </c>
      <c r="H6" s="13">
        <v>0.15</v>
      </c>
      <c r="I6" s="12">
        <v>0.05</v>
      </c>
      <c r="J6" s="19">
        <f>D6*E6+F6+G6+H6</f>
        <v>4.8000000000000007</v>
      </c>
      <c r="K6" s="19">
        <f>Assumptions!$B$6</f>
        <v>0.35</v>
      </c>
      <c r="L6" s="16">
        <f>(J6*(1+I6))/(1-K6)</f>
        <v>7.7538461538461547</v>
      </c>
      <c r="M6" s="16">
        <f>J6*C6</f>
        <v>12000.000000000002</v>
      </c>
      <c r="N6" s="16">
        <f>L6*C6</f>
        <v>19384.615384615387</v>
      </c>
      <c r="O6" s="19">
        <f>IF(N6=0,0,(N6-M6)/N6)</f>
        <v>0.38095238095238093</v>
      </c>
      <c r="P6" s="2" t="s">
        <v>233</v>
      </c>
      <c r="Q6" s="2"/>
    </row>
    <row r="7" spans="1:17">
      <c r="A7" s="2" t="s">
        <v>234</v>
      </c>
      <c r="B7" s="10" t="s">
        <v>235</v>
      </c>
      <c r="C7" s="10">
        <v>350</v>
      </c>
      <c r="D7" s="10">
        <v>0.6</v>
      </c>
      <c r="E7" s="13">
        <v>55</v>
      </c>
      <c r="F7" s="13">
        <v>3</v>
      </c>
      <c r="G7" s="13">
        <v>1</v>
      </c>
      <c r="H7" s="13">
        <v>1.5</v>
      </c>
      <c r="I7" s="12">
        <v>0.05</v>
      </c>
      <c r="J7" s="19">
        <f>D7*E7+F7+G7+H7</f>
        <v>38.5</v>
      </c>
      <c r="K7" s="19">
        <f>Assumptions!$B$6</f>
        <v>0.35</v>
      </c>
      <c r="L7" s="16">
        <f>(J7*(1+I7))/(1-K7)</f>
        <v>62.192307692307693</v>
      </c>
      <c r="M7" s="16">
        <f>J7*C7</f>
        <v>13475</v>
      </c>
      <c r="N7" s="16">
        <f>L7*C7</f>
        <v>21767.307692307691</v>
      </c>
      <c r="O7" s="19">
        <f>IF(N7=0,0,(N7-M7)/N7)</f>
        <v>0.38095238095238093</v>
      </c>
      <c r="P7" s="2" t="s">
        <v>236</v>
      </c>
      <c r="Q7" s="2"/>
    </row>
    <row r="8" spans="1:17">
      <c r="A8" s="2" t="s">
        <v>237</v>
      </c>
      <c r="B8" s="10" t="s">
        <v>238</v>
      </c>
      <c r="C8" s="10">
        <v>12</v>
      </c>
      <c r="D8" s="10">
        <v>8</v>
      </c>
      <c r="E8" s="13">
        <v>90</v>
      </c>
      <c r="F8" s="13">
        <v>150</v>
      </c>
      <c r="G8" s="13">
        <v>50</v>
      </c>
      <c r="H8" s="13">
        <v>35</v>
      </c>
      <c r="I8" s="12">
        <v>0.08</v>
      </c>
      <c r="J8" s="19">
        <f>D8*E8+F8+G8+H8</f>
        <v>955</v>
      </c>
      <c r="K8" s="19">
        <f>Assumptions!$B$6</f>
        <v>0.35</v>
      </c>
      <c r="L8" s="16">
        <f>(J8*(1+I8))/(1-K8)</f>
        <v>1586.7692307692309</v>
      </c>
      <c r="M8" s="16">
        <f>J8*C8</f>
        <v>11460</v>
      </c>
      <c r="N8" s="16">
        <f>L8*C8</f>
        <v>19041.230769230773</v>
      </c>
      <c r="O8" s="19">
        <f>IF(N8=0,0,(N8-M8)/N8)</f>
        <v>0.39814814814814825</v>
      </c>
      <c r="P8" s="2" t="s">
        <v>239</v>
      </c>
      <c r="Q8" s="2"/>
    </row>
    <row r="9" spans="1:17">
      <c r="A9" s="2" t="s">
        <v>240</v>
      </c>
      <c r="B9" s="10" t="s">
        <v>212</v>
      </c>
      <c r="C9" s="10">
        <v>10000</v>
      </c>
      <c r="D9" s="10">
        <v>0.12</v>
      </c>
      <c r="E9" s="13">
        <v>55</v>
      </c>
      <c r="F9" s="13">
        <v>0.3</v>
      </c>
      <c r="G9" s="13">
        <v>0.1</v>
      </c>
      <c r="H9" s="13">
        <v>0.12</v>
      </c>
      <c r="I9" s="12">
        <v>0.05</v>
      </c>
      <c r="J9" s="19">
        <f>D9*E9+F9+G9+H9</f>
        <v>7.1199999999999992</v>
      </c>
      <c r="K9" s="19">
        <f>Assumptions!$B$6</f>
        <v>0.35</v>
      </c>
      <c r="L9" s="16">
        <f>(J9*(1+I9))/(1-K9)</f>
        <v>11.501538461538459</v>
      </c>
      <c r="M9" s="16">
        <f>J9*C9</f>
        <v>71199.999999999985</v>
      </c>
      <c r="N9" s="16">
        <f>L9*C9</f>
        <v>115015.3846153846</v>
      </c>
      <c r="O9" s="19">
        <f>IF(N9=0,0,(N9-M9)/N9)</f>
        <v>0.38095238095238099</v>
      </c>
      <c r="P9" s="2" t="s">
        <v>241</v>
      </c>
      <c r="Q9" s="2"/>
    </row>
    <row r="10" spans="1:1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mergeCells count="1">
    <mergeCell ref="A1:P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40"/>
  <sheetViews>
    <sheetView workbookViewId="0"/>
  </sheetViews>
  <sheetFormatPr defaultRowHeight="13.8"/>
  <cols>
    <col min="1" max="1" width="24" customWidth="1"/>
    <col min="2" max="2" width="14" customWidth="1"/>
    <col min="3" max="6" width="13" customWidth="1"/>
    <col min="7" max="7" width="18" customWidth="1"/>
    <col min="8" max="13" width="14" customWidth="1"/>
    <col min="14" max="14" width="28" customWidth="1"/>
  </cols>
  <sheetData>
    <row r="1" spans="1:17" ht="22.35" customHeight="1">
      <c r="A1" s="28" t="s">
        <v>242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"/>
      <c r="P1" s="2"/>
      <c r="Q1" s="2"/>
    </row>
    <row r="2" spans="1:17">
      <c r="A2" s="3" t="s">
        <v>243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24" customHeight="1">
      <c r="A4" s="1" t="s">
        <v>244</v>
      </c>
      <c r="B4" s="1" t="s">
        <v>139</v>
      </c>
      <c r="C4" s="1" t="s">
        <v>245</v>
      </c>
      <c r="D4" s="1" t="s">
        <v>246</v>
      </c>
      <c r="E4" s="1" t="s">
        <v>247</v>
      </c>
      <c r="F4" s="1" t="s">
        <v>248</v>
      </c>
      <c r="G4" s="1" t="s">
        <v>66</v>
      </c>
      <c r="H4" s="1" t="s">
        <v>102</v>
      </c>
      <c r="I4" s="1" t="s">
        <v>104</v>
      </c>
      <c r="J4" s="1" t="s">
        <v>145</v>
      </c>
      <c r="K4" s="1" t="s">
        <v>249</v>
      </c>
      <c r="L4" s="1" t="s">
        <v>250</v>
      </c>
      <c r="M4" s="1" t="s">
        <v>130</v>
      </c>
      <c r="N4" s="1" t="s">
        <v>73</v>
      </c>
      <c r="O4" s="2"/>
      <c r="P4" s="2"/>
      <c r="Q4" s="2"/>
    </row>
    <row r="5" spans="1:17">
      <c r="A5" s="2" t="s">
        <v>251</v>
      </c>
      <c r="B5" s="10" t="s">
        <v>214</v>
      </c>
      <c r="C5" s="10">
        <v>10000</v>
      </c>
      <c r="D5" s="12">
        <v>0.1</v>
      </c>
      <c r="E5" s="24">
        <f>C5*D5</f>
        <v>1000</v>
      </c>
      <c r="F5" s="24">
        <v>1.2</v>
      </c>
      <c r="G5" s="24" t="s">
        <v>79</v>
      </c>
      <c r="H5" s="18">
        <f>VLOOKUP(G5,Role_Rates!$A$5:$F$14,6,FALSE)</f>
        <v>7.375</v>
      </c>
      <c r="I5" s="16">
        <f>E5*F5/60*H5</f>
        <v>147.5</v>
      </c>
      <c r="J5" s="19">
        <f>Assumptions!$B$6</f>
        <v>0.35</v>
      </c>
      <c r="K5" s="16">
        <f>I5/(1-J5)</f>
        <v>226.92307692307691</v>
      </c>
      <c r="L5" s="16">
        <f>IF(C5=0,0,K5/C5)</f>
        <v>2.2692307692307692E-2</v>
      </c>
      <c r="M5" s="16">
        <f>K5</f>
        <v>226.92307692307691</v>
      </c>
      <c r="N5" s="2" t="s">
        <v>252</v>
      </c>
      <c r="O5" s="2"/>
      <c r="P5" s="2"/>
      <c r="Q5" s="2"/>
    </row>
    <row r="6" spans="1:17">
      <c r="A6" s="2" t="s">
        <v>253</v>
      </c>
      <c r="B6" s="10" t="s">
        <v>152</v>
      </c>
      <c r="C6" s="10">
        <v>2500</v>
      </c>
      <c r="D6" s="12">
        <v>1</v>
      </c>
      <c r="E6" s="24">
        <f>C6*D6</f>
        <v>2500</v>
      </c>
      <c r="F6" s="24">
        <v>0.8</v>
      </c>
      <c r="G6" s="24" t="s">
        <v>79</v>
      </c>
      <c r="H6" s="18">
        <f>VLOOKUP(G6,Role_Rates!$A$5:$F$14,6,FALSE)</f>
        <v>7.375</v>
      </c>
      <c r="I6" s="16">
        <f>E6*F6/60*H6</f>
        <v>245.83333333333334</v>
      </c>
      <c r="J6" s="19">
        <f>Assumptions!$B$6</f>
        <v>0.35</v>
      </c>
      <c r="K6" s="16">
        <f>I6/(1-J6)</f>
        <v>378.20512820512823</v>
      </c>
      <c r="L6" s="16">
        <f>IF(C6=0,0,K6/C6)</f>
        <v>0.1512820512820513</v>
      </c>
      <c r="M6" s="16">
        <f>K6</f>
        <v>378.20512820512823</v>
      </c>
      <c r="N6" s="2" t="s">
        <v>254</v>
      </c>
      <c r="O6" s="2"/>
      <c r="P6" s="2"/>
      <c r="Q6" s="2"/>
    </row>
    <row r="7" spans="1:17">
      <c r="A7" s="2" t="s">
        <v>255</v>
      </c>
      <c r="B7" s="10" t="s">
        <v>256</v>
      </c>
      <c r="C7" s="10">
        <v>500</v>
      </c>
      <c r="D7" s="12">
        <v>1</v>
      </c>
      <c r="E7" s="24">
        <f>C7*D7</f>
        <v>500</v>
      </c>
      <c r="F7" s="24">
        <v>2</v>
      </c>
      <c r="G7" s="24" t="s">
        <v>79</v>
      </c>
      <c r="H7" s="18">
        <f>VLOOKUP(G7,Role_Rates!$A$5:$F$14,6,FALSE)</f>
        <v>7.375</v>
      </c>
      <c r="I7" s="16">
        <f>E7*F7/60*H7</f>
        <v>122.91666666666667</v>
      </c>
      <c r="J7" s="19">
        <f>Assumptions!$B$6</f>
        <v>0.35</v>
      </c>
      <c r="K7" s="16">
        <f>I7/(1-J7)</f>
        <v>189.10256410256412</v>
      </c>
      <c r="L7" s="16">
        <f>IF(C7=0,0,K7/C7)</f>
        <v>0.37820512820512825</v>
      </c>
      <c r="M7" s="16">
        <f>K7</f>
        <v>189.10256410256412</v>
      </c>
      <c r="N7" s="2" t="s">
        <v>257</v>
      </c>
      <c r="O7" s="2"/>
      <c r="P7" s="2"/>
      <c r="Q7" s="2"/>
    </row>
    <row r="8" spans="1:17">
      <c r="A8" s="2" t="s">
        <v>258</v>
      </c>
      <c r="B8" s="10" t="s">
        <v>259</v>
      </c>
      <c r="C8" s="10">
        <v>600</v>
      </c>
      <c r="D8" s="12">
        <v>0.2</v>
      </c>
      <c r="E8" s="24">
        <f>C8*D8</f>
        <v>120</v>
      </c>
      <c r="F8" s="24">
        <v>6</v>
      </c>
      <c r="G8" s="24" t="s">
        <v>85</v>
      </c>
      <c r="H8" s="18">
        <f>VLOOKUP(G8,Role_Rates!$A$5:$F$14,6,FALSE)</f>
        <v>17.306666666666665</v>
      </c>
      <c r="I8" s="16">
        <f>E8*F8/60*H8</f>
        <v>207.67999999999998</v>
      </c>
      <c r="J8" s="19">
        <f>Assumptions!$B$6</f>
        <v>0.35</v>
      </c>
      <c r="K8" s="16">
        <f>I8/(1-J8)</f>
        <v>319.50769230769225</v>
      </c>
      <c r="L8" s="16">
        <f>IF(C8=0,0,K8/C8)</f>
        <v>0.53251282051282045</v>
      </c>
      <c r="M8" s="16">
        <f>K8</f>
        <v>319.50769230769225</v>
      </c>
      <c r="N8" s="2" t="s">
        <v>260</v>
      </c>
      <c r="O8" s="2"/>
      <c r="P8" s="2"/>
      <c r="Q8" s="2"/>
    </row>
    <row r="9" spans="1:17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mergeCells count="1">
    <mergeCell ref="A1:N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40"/>
  <sheetViews>
    <sheetView workbookViewId="0"/>
  </sheetViews>
  <sheetFormatPr defaultRowHeight="13.8"/>
  <cols>
    <col min="1" max="1" width="35" customWidth="1"/>
    <col min="2" max="2" width="22" customWidth="1"/>
    <col min="4" max="4" width="20" customWidth="1"/>
    <col min="5" max="7" width="18" customWidth="1"/>
    <col min="8" max="8" width="40" customWidth="1"/>
  </cols>
  <sheetData>
    <row r="1" spans="1:17" ht="22.35" customHeight="1">
      <c r="A1" s="28" t="s">
        <v>261</v>
      </c>
      <c r="B1" s="29"/>
      <c r="C1" s="29"/>
      <c r="D1" s="29"/>
      <c r="E1" s="29"/>
      <c r="F1" s="29"/>
      <c r="G1" s="29"/>
      <c r="H1" s="29"/>
      <c r="I1" s="2"/>
      <c r="J1" s="2"/>
      <c r="K1" s="2"/>
      <c r="L1" s="2"/>
      <c r="M1" s="2"/>
      <c r="N1" s="2"/>
      <c r="O1" s="2"/>
      <c r="P1" s="2"/>
      <c r="Q1" s="2"/>
    </row>
    <row r="2" spans="1:17">
      <c r="A2" s="3" t="s">
        <v>262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24" customHeight="1">
      <c r="A4" s="1" t="s">
        <v>263</v>
      </c>
      <c r="B4" s="1" t="s">
        <v>41</v>
      </c>
      <c r="C4" s="2"/>
      <c r="D4" s="1" t="s">
        <v>264</v>
      </c>
      <c r="E4" s="1" t="s">
        <v>104</v>
      </c>
      <c r="F4" s="1" t="s">
        <v>265</v>
      </c>
      <c r="G4" s="1" t="s">
        <v>266</v>
      </c>
      <c r="H4" s="1" t="s">
        <v>267</v>
      </c>
      <c r="I4" s="2"/>
      <c r="J4" s="2"/>
      <c r="K4" s="2"/>
      <c r="L4" s="2"/>
      <c r="M4" s="2"/>
      <c r="N4" s="2"/>
      <c r="O4" s="2"/>
      <c r="P4" s="2"/>
      <c r="Q4" s="2"/>
    </row>
    <row r="5" spans="1:17">
      <c r="A5" s="2" t="s">
        <v>268</v>
      </c>
      <c r="B5" s="10">
        <v>5000</v>
      </c>
      <c r="C5" s="2"/>
      <c r="D5" s="2" t="s">
        <v>269</v>
      </c>
      <c r="E5" s="16">
        <f>B5*B6/60*VLOOKUP(B7,Role_Rates!$A$5:$F$14,6,FALSE)</f>
        <v>1659.3749999999998</v>
      </c>
      <c r="F5" s="16">
        <f>E5/(1-B10)</f>
        <v>2552.8846153846148</v>
      </c>
      <c r="G5" s="16">
        <f>F5/B5</f>
        <v>0.51057692307692293</v>
      </c>
      <c r="H5" s="2" t="s">
        <v>270</v>
      </c>
      <c r="I5" s="2"/>
      <c r="J5" s="2"/>
      <c r="K5" s="2"/>
      <c r="L5" s="2"/>
      <c r="M5" s="2"/>
      <c r="N5" s="2"/>
      <c r="O5" s="2"/>
      <c r="P5" s="2"/>
      <c r="Q5" s="2"/>
    </row>
    <row r="6" spans="1:17">
      <c r="A6" s="2" t="s">
        <v>271</v>
      </c>
      <c r="B6" s="10">
        <v>3</v>
      </c>
      <c r="C6" s="2"/>
      <c r="D6" s="2" t="s">
        <v>272</v>
      </c>
      <c r="E6" s="16">
        <f>E5*(1+Assumptions!$B$8+Assumptions!$B$9+Assumptions!$B$11)</f>
        <v>2074.2187499999995</v>
      </c>
      <c r="F6" s="16">
        <f>E6/(1-B10)</f>
        <v>3191.1057692307686</v>
      </c>
      <c r="G6" s="16">
        <f>F6/B5</f>
        <v>0.63822115384615374</v>
      </c>
      <c r="H6" s="2" t="s">
        <v>273</v>
      </c>
      <c r="I6" s="2"/>
      <c r="J6" s="2"/>
      <c r="K6" s="2"/>
      <c r="L6" s="2"/>
      <c r="M6" s="2"/>
      <c r="N6" s="2"/>
      <c r="O6" s="2"/>
      <c r="P6" s="2"/>
      <c r="Q6" s="2"/>
    </row>
    <row r="7" spans="1:17">
      <c r="A7" s="2" t="s">
        <v>274</v>
      </c>
      <c r="B7" s="10" t="s">
        <v>74</v>
      </c>
      <c r="C7" s="2"/>
      <c r="D7" s="2" t="s">
        <v>275</v>
      </c>
      <c r="E7" s="16">
        <f>CEILING(B5*B6/60/(Assumptions!$B$15*B9),1)*B8*VLOOKUP(B7,Role_Rates!$A$5:$C$14,3,FALSE)*(1+Assumptions!$B$7)</f>
        <v>6372</v>
      </c>
      <c r="F7" s="16">
        <f>E7/(1-B10)</f>
        <v>9803.076923076922</v>
      </c>
      <c r="G7" s="16">
        <f>F7/B5</f>
        <v>1.9606153846153844</v>
      </c>
      <c r="H7" s="2" t="s">
        <v>276</v>
      </c>
      <c r="I7" s="2"/>
      <c r="J7" s="2"/>
      <c r="K7" s="2"/>
      <c r="L7" s="2"/>
      <c r="M7" s="2"/>
      <c r="N7" s="2"/>
      <c r="O7" s="2"/>
      <c r="P7" s="2"/>
      <c r="Q7" s="2"/>
    </row>
    <row r="8" spans="1:17">
      <c r="A8" s="2" t="s">
        <v>277</v>
      </c>
      <c r="B8" s="10">
        <v>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2" t="s">
        <v>278</v>
      </c>
      <c r="B9" s="10">
        <v>0.85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 t="s">
        <v>145</v>
      </c>
      <c r="B10" s="12">
        <v>0.35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 t="s">
        <v>279</v>
      </c>
      <c r="B11" s="25">
        <v>4000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40.799999999999997">
      <c r="A13" s="15" t="s">
        <v>280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mergeCells count="1"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0"/>
  <sheetViews>
    <sheetView workbookViewId="0"/>
  </sheetViews>
  <sheetFormatPr defaultRowHeight="13.8"/>
  <cols>
    <col min="1" max="1" width="16" customWidth="1"/>
    <col min="2" max="2" width="32" customWidth="1"/>
    <col min="3" max="3" width="14" customWidth="1"/>
    <col min="4" max="4" width="12" customWidth="1"/>
    <col min="5" max="10" width="15" customWidth="1"/>
    <col min="11" max="11" width="13" customWidth="1"/>
    <col min="12" max="12" width="18" customWidth="1"/>
  </cols>
  <sheetData>
    <row r="1" spans="1:17" ht="22.35" customHeight="1">
      <c r="A1" s="28" t="s">
        <v>281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"/>
      <c r="N1" s="2"/>
      <c r="O1" s="2"/>
      <c r="P1" s="2"/>
      <c r="Q1" s="2"/>
    </row>
    <row r="2" spans="1:17">
      <c r="A2" s="3" t="s">
        <v>282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 t="s">
        <v>283</v>
      </c>
      <c r="B3" s="10" t="s">
        <v>284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2" t="s">
        <v>285</v>
      </c>
      <c r="B4" s="10" t="s">
        <v>47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A5" s="2" t="s">
        <v>286</v>
      </c>
      <c r="B5" s="10">
        <v>30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2" t="s">
        <v>287</v>
      </c>
      <c r="B6" s="1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2" t="s">
        <v>288</v>
      </c>
      <c r="B7" s="12">
        <v>0.03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2" t="s">
        <v>289</v>
      </c>
      <c r="B8" s="10">
        <v>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2" t="s">
        <v>59</v>
      </c>
      <c r="B9" s="10">
        <v>0.05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 t="s">
        <v>73</v>
      </c>
      <c r="B10" s="10" t="s">
        <v>290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24" customHeight="1">
      <c r="A13" s="1" t="s">
        <v>291</v>
      </c>
      <c r="B13" s="1" t="s">
        <v>292</v>
      </c>
      <c r="C13" s="1" t="s">
        <v>139</v>
      </c>
      <c r="D13" s="1" t="s">
        <v>293</v>
      </c>
      <c r="E13" s="1" t="s">
        <v>144</v>
      </c>
      <c r="F13" s="1" t="s">
        <v>147</v>
      </c>
      <c r="G13" s="1" t="s">
        <v>294</v>
      </c>
      <c r="H13" s="1" t="s">
        <v>295</v>
      </c>
      <c r="I13" s="1" t="s">
        <v>296</v>
      </c>
      <c r="J13" s="1" t="s">
        <v>297</v>
      </c>
      <c r="K13" s="1" t="s">
        <v>174</v>
      </c>
      <c r="L13" s="1" t="s">
        <v>298</v>
      </c>
      <c r="M13" s="2"/>
      <c r="N13" s="2"/>
      <c r="O13" s="2"/>
      <c r="P13" s="2"/>
      <c r="Q13" s="2"/>
    </row>
    <row r="14" spans="1:17">
      <c r="A14" s="10" t="s">
        <v>299</v>
      </c>
      <c r="B14" s="10" t="s">
        <v>151</v>
      </c>
      <c r="C14" s="10" t="s">
        <v>152</v>
      </c>
      <c r="D14" s="10">
        <v>2500</v>
      </c>
      <c r="E14" s="13">
        <f>Telecom_Unit!J6</f>
        <v>1.5703124999999998</v>
      </c>
      <c r="F14" s="13">
        <f>Telecom_Unit!M6</f>
        <v>2.295072115384615</v>
      </c>
      <c r="G14" s="16">
        <f>D14*E14</f>
        <v>3925.7812499999995</v>
      </c>
      <c r="H14" s="16">
        <f>D14*F14</f>
        <v>5737.6802884615372</v>
      </c>
      <c r="I14" s="23">
        <v>0</v>
      </c>
      <c r="J14" s="16">
        <f>H14*(1-I14)</f>
        <v>5737.6802884615372</v>
      </c>
      <c r="K14" s="19">
        <f>IF(J14=0,0,(J14-G14)/J14)</f>
        <v>0.31578947368421045</v>
      </c>
      <c r="L14" s="10" t="s">
        <v>300</v>
      </c>
      <c r="M14" s="2"/>
      <c r="N14" s="2"/>
      <c r="O14" s="2"/>
      <c r="P14" s="2"/>
      <c r="Q14" s="2"/>
    </row>
    <row r="15" spans="1:17">
      <c r="A15" s="10" t="s">
        <v>301</v>
      </c>
      <c r="B15" s="10" t="s">
        <v>302</v>
      </c>
      <c r="C15" s="10" t="s">
        <v>152</v>
      </c>
      <c r="D15" s="10">
        <v>1500</v>
      </c>
      <c r="E15" s="13">
        <f>PLA_PerPole!K6</f>
        <v>8.32004861111111</v>
      </c>
      <c r="F15" s="13">
        <f>PLA_PerPole!N6</f>
        <v>12.416072542735039</v>
      </c>
      <c r="G15" s="16">
        <f>D15*E15</f>
        <v>12480.072916666664</v>
      </c>
      <c r="H15" s="16">
        <f>D15*F15</f>
        <v>18624.108814102558</v>
      </c>
      <c r="I15" s="23">
        <v>0</v>
      </c>
      <c r="J15" s="16">
        <f>H15*(1-I15)</f>
        <v>18624.108814102558</v>
      </c>
      <c r="K15" s="19">
        <f>IF(J15=0,0,(J15-G15)/J15)</f>
        <v>0.32989690721649473</v>
      </c>
      <c r="L15" s="10" t="s">
        <v>303</v>
      </c>
      <c r="M15" s="2"/>
      <c r="N15" s="2"/>
      <c r="O15" s="2"/>
      <c r="P15" s="2"/>
      <c r="Q15" s="2"/>
    </row>
    <row r="16" spans="1:17">
      <c r="A16" s="10" t="s">
        <v>304</v>
      </c>
      <c r="B16" s="10" t="s">
        <v>305</v>
      </c>
      <c r="C16" s="10" t="s">
        <v>214</v>
      </c>
      <c r="D16" s="10">
        <v>3000</v>
      </c>
      <c r="E16" s="13">
        <f>LiDAR_Feature!J5</f>
        <v>0.37818458333333338</v>
      </c>
      <c r="F16" s="13">
        <f>LiDAR_Feature!M5</f>
        <v>0.55273131410256415</v>
      </c>
      <c r="G16" s="16">
        <f>D16*E16</f>
        <v>1134.55375</v>
      </c>
      <c r="H16" s="16">
        <f>D16*F16</f>
        <v>1658.1939423076924</v>
      </c>
      <c r="I16" s="23">
        <v>0</v>
      </c>
      <c r="J16" s="16">
        <f>H16*(1-I16)</f>
        <v>1658.1939423076924</v>
      </c>
      <c r="K16" s="19">
        <f>IF(J16=0,0,(J16-G16)/J16)</f>
        <v>0.31578947368421056</v>
      </c>
      <c r="L16" s="10" t="s">
        <v>306</v>
      </c>
      <c r="M16" s="2"/>
      <c r="N16" s="2"/>
      <c r="O16" s="2"/>
      <c r="P16" s="2"/>
      <c r="Q16" s="2"/>
    </row>
    <row r="17" spans="1:17">
      <c r="A17" s="10" t="s">
        <v>307</v>
      </c>
      <c r="B17" s="10" t="s">
        <v>308</v>
      </c>
      <c r="C17" s="10" t="s">
        <v>208</v>
      </c>
      <c r="D17" s="10">
        <v>5000</v>
      </c>
      <c r="E17" s="13">
        <f>GIS_Unit!J5</f>
        <v>0.46650000000000003</v>
      </c>
      <c r="F17" s="13">
        <f>GIS_Unit!L5</f>
        <v>0.71769230769230774</v>
      </c>
      <c r="G17" s="16">
        <f>D17*E17</f>
        <v>2332.5</v>
      </c>
      <c r="H17" s="16">
        <f>D17*F17</f>
        <v>3588.4615384615386</v>
      </c>
      <c r="I17" s="23">
        <v>0</v>
      </c>
      <c r="J17" s="16">
        <f>H17*(1-I17)</f>
        <v>3588.4615384615386</v>
      </c>
      <c r="K17" s="19">
        <f>IF(J17=0,0,(J17-G17)/J17)</f>
        <v>0.35000000000000003</v>
      </c>
      <c r="L17" s="10" t="s">
        <v>309</v>
      </c>
      <c r="M17" s="2"/>
      <c r="N17" s="2"/>
      <c r="O17" s="2"/>
      <c r="P17" s="2"/>
      <c r="Q17" s="2"/>
    </row>
    <row r="18" spans="1:17">
      <c r="A18" s="10" t="s">
        <v>310</v>
      </c>
      <c r="B18" s="10" t="s">
        <v>251</v>
      </c>
      <c r="C18" s="10" t="s">
        <v>214</v>
      </c>
      <c r="D18" s="10">
        <v>10000</v>
      </c>
      <c r="E18" s="13">
        <f>QA_QC!I5/QA_QC!C5</f>
        <v>1.4749999999999999E-2</v>
      </c>
      <c r="F18" s="13">
        <f>QA_QC!L5</f>
        <v>2.2692307692307692E-2</v>
      </c>
      <c r="G18" s="16">
        <f>D18*E18</f>
        <v>147.5</v>
      </c>
      <c r="H18" s="16">
        <f>D18*F18</f>
        <v>226.92307692307693</v>
      </c>
      <c r="I18" s="23">
        <v>0</v>
      </c>
      <c r="J18" s="16">
        <f>H18*(1-I18)</f>
        <v>226.92307692307693</v>
      </c>
      <c r="K18" s="19">
        <f>IF(J18=0,0,(J18-G18)/J18)</f>
        <v>0.35000000000000003</v>
      </c>
      <c r="L18" s="10" t="s">
        <v>311</v>
      </c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1"/>
      <c r="F19" s="21"/>
      <c r="G19" s="21"/>
      <c r="H19" s="21"/>
      <c r="I19" s="21"/>
      <c r="J19" s="21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1"/>
      <c r="F20" s="21"/>
      <c r="G20" s="21"/>
      <c r="H20" s="21"/>
      <c r="I20" s="21"/>
      <c r="J20" s="21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1"/>
      <c r="F21" s="21"/>
      <c r="G21" s="21"/>
      <c r="H21" s="22" t="s">
        <v>312</v>
      </c>
      <c r="I21" s="22" t="s">
        <v>41</v>
      </c>
      <c r="J21" s="21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1"/>
      <c r="F22" s="21"/>
      <c r="G22" s="21"/>
      <c r="H22" s="22" t="s">
        <v>129</v>
      </c>
      <c r="I22" s="22">
        <f>SUM(G14:G18)+B8</f>
        <v>20020.407916666663</v>
      </c>
      <c r="J22" s="21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1"/>
      <c r="F23" s="21"/>
      <c r="G23" s="21"/>
      <c r="H23" s="22" t="s">
        <v>295</v>
      </c>
      <c r="I23" s="22">
        <f>SUM(J14:J18)*(1+B7)</f>
        <v>30730.428690064095</v>
      </c>
      <c r="J23" s="21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1"/>
      <c r="F24" s="21"/>
      <c r="G24" s="21"/>
      <c r="H24" s="22" t="s">
        <v>313</v>
      </c>
      <c r="I24" s="22">
        <f>I23*B6</f>
        <v>0</v>
      </c>
      <c r="J24" s="21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1"/>
      <c r="F25" s="21"/>
      <c r="G25" s="21"/>
      <c r="H25" s="22" t="s">
        <v>314</v>
      </c>
      <c r="I25" s="22">
        <f>MAX(I23-I24,Assumptions!$B$14)</f>
        <v>30730.428690064095</v>
      </c>
      <c r="J25" s="21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0" t="s">
        <v>315</v>
      </c>
      <c r="I26" s="26">
        <f>IF(I25=0,0,(I25-I22)/I25)</f>
        <v>0.34851517632294682</v>
      </c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mergeCells count="1">
    <mergeCell ref="A1:L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40"/>
  <sheetViews>
    <sheetView workbookViewId="0"/>
  </sheetViews>
  <sheetFormatPr defaultRowHeight="13.8"/>
  <cols>
    <col min="1" max="1" width="28" customWidth="1"/>
    <col min="2" max="4" width="18" customWidth="1"/>
    <col min="5" max="5" width="38" customWidth="1"/>
    <col min="6" max="6" width="18" customWidth="1"/>
  </cols>
  <sheetData>
    <row r="1" spans="1:17" ht="22.35" customHeight="1">
      <c r="A1" s="28" t="s">
        <v>316</v>
      </c>
      <c r="B1" s="29"/>
      <c r="C1" s="29"/>
      <c r="D1" s="29"/>
      <c r="E1" s="29"/>
      <c r="F1" s="29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3" t="s">
        <v>317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24" customHeight="1">
      <c r="A4" s="1" t="s">
        <v>204</v>
      </c>
      <c r="B4" s="1" t="s">
        <v>139</v>
      </c>
      <c r="C4" s="1" t="s">
        <v>318</v>
      </c>
      <c r="D4" s="1" t="s">
        <v>319</v>
      </c>
      <c r="E4" s="1" t="s">
        <v>320</v>
      </c>
      <c r="F4" s="1" t="s">
        <v>321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A5" s="2" t="s">
        <v>322</v>
      </c>
      <c r="B5" s="2" t="s">
        <v>323</v>
      </c>
      <c r="C5" s="16">
        <f>Role_Rates!G5</f>
        <v>10.21153846153846</v>
      </c>
      <c r="D5" s="2" t="s">
        <v>324</v>
      </c>
      <c r="E5" s="2" t="s">
        <v>325</v>
      </c>
      <c r="F5" s="2" t="s">
        <v>326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2" t="s">
        <v>327</v>
      </c>
      <c r="B6" s="2" t="s">
        <v>152</v>
      </c>
      <c r="C6" s="16">
        <f>Telecom_Unit!M6</f>
        <v>2.295072115384615</v>
      </c>
      <c r="D6" s="2" t="s">
        <v>328</v>
      </c>
      <c r="E6" s="2" t="s">
        <v>329</v>
      </c>
      <c r="F6" s="2" t="s">
        <v>300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2" t="s">
        <v>330</v>
      </c>
      <c r="B7" s="2" t="s">
        <v>152</v>
      </c>
      <c r="C7" s="16">
        <f>PLA_PerPole!N6</f>
        <v>12.416072542735039</v>
      </c>
      <c r="D7" s="2" t="s">
        <v>331</v>
      </c>
      <c r="E7" s="2" t="s">
        <v>332</v>
      </c>
      <c r="F7" s="2" t="s">
        <v>303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2" t="s">
        <v>333</v>
      </c>
      <c r="B8" s="2" t="s">
        <v>214</v>
      </c>
      <c r="C8" s="16">
        <f>LiDAR_Feature!M5</f>
        <v>0.55273131410256415</v>
      </c>
      <c r="D8" s="2" t="s">
        <v>334</v>
      </c>
      <c r="E8" s="2" t="s">
        <v>335</v>
      </c>
      <c r="F8" s="2" t="s">
        <v>306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2" t="s">
        <v>336</v>
      </c>
      <c r="B9" s="2" t="s">
        <v>208</v>
      </c>
      <c r="C9" s="16">
        <f>GIS_Unit!L5</f>
        <v>0.71769230769230774</v>
      </c>
      <c r="D9" s="2" t="s">
        <v>337</v>
      </c>
      <c r="E9" s="2" t="s">
        <v>338</v>
      </c>
      <c r="F9" s="2" t="s">
        <v>309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 t="s">
        <v>339</v>
      </c>
      <c r="B10" s="2" t="s">
        <v>212</v>
      </c>
      <c r="C10" s="16">
        <f>GIS_Unit!L7</f>
        <v>4.751030219780219</v>
      </c>
      <c r="D10" s="2" t="s">
        <v>340</v>
      </c>
      <c r="E10" s="2" t="s">
        <v>341</v>
      </c>
      <c r="F10" s="2" t="s">
        <v>309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 t="s">
        <v>342</v>
      </c>
      <c r="B11" s="2" t="s">
        <v>152</v>
      </c>
      <c r="C11" s="16">
        <f>Field_Collection!L6</f>
        <v>7.7538461538461547</v>
      </c>
      <c r="D11" s="2" t="s">
        <v>328</v>
      </c>
      <c r="E11" s="2" t="s">
        <v>343</v>
      </c>
      <c r="F11" s="2" t="s">
        <v>344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 t="s">
        <v>345</v>
      </c>
      <c r="B12" s="2" t="s">
        <v>346</v>
      </c>
      <c r="C12" s="16">
        <f>QA_QC!L5</f>
        <v>2.2692307692307692E-2</v>
      </c>
      <c r="D12" s="2" t="s">
        <v>347</v>
      </c>
      <c r="E12" s="2" t="s">
        <v>348</v>
      </c>
      <c r="F12" s="2" t="s">
        <v>311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mergeCells count="1">
    <mergeCell ref="A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40"/>
  <sheetViews>
    <sheetView workbookViewId="0"/>
  </sheetViews>
  <sheetFormatPr defaultRowHeight="13.8"/>
  <cols>
    <col min="1" max="1" width="28" customWidth="1"/>
    <col min="2" max="2" width="18" customWidth="1"/>
    <col min="3" max="4" width="16" customWidth="1"/>
    <col min="6" max="6" width="20" customWidth="1"/>
    <col min="7" max="8" width="16" customWidth="1"/>
  </cols>
  <sheetData>
    <row r="1" spans="1:17" ht="22.35" customHeight="1">
      <c r="A1" s="28" t="s">
        <v>349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"/>
      <c r="N1" s="2"/>
      <c r="O1" s="2"/>
      <c r="P1" s="2"/>
      <c r="Q1" s="2"/>
    </row>
    <row r="2" spans="1:17">
      <c r="A2" s="3" t="s">
        <v>350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24" customHeight="1">
      <c r="A3" s="1" t="s">
        <v>351</v>
      </c>
      <c r="B3" s="1" t="s">
        <v>41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20" t="s">
        <v>49</v>
      </c>
      <c r="B4" s="26">
        <f>Assumptions!B6</f>
        <v>0.35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A5" s="20" t="s">
        <v>352</v>
      </c>
      <c r="B5" s="22">
        <f>DeskOps_Hourly!K15</f>
        <v>3977.1466783216779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20" t="s">
        <v>353</v>
      </c>
      <c r="B6" s="22">
        <f>Bid_Builder!I25</f>
        <v>30730.428690064095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20" t="s">
        <v>354</v>
      </c>
      <c r="B7" s="26">
        <f>Bid_Builder!I26</f>
        <v>0.34851517632294682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24" customHeight="1">
      <c r="A10" s="1" t="s">
        <v>291</v>
      </c>
      <c r="B10" s="1" t="s">
        <v>355</v>
      </c>
      <c r="C10" s="1" t="s">
        <v>139</v>
      </c>
      <c r="D10" s="1" t="s">
        <v>356</v>
      </c>
      <c r="E10" s="2"/>
      <c r="F10" s="1" t="s">
        <v>357</v>
      </c>
      <c r="G10" s="1" t="s">
        <v>297</v>
      </c>
      <c r="H10" s="1" t="s">
        <v>174</v>
      </c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 t="s">
        <v>358</v>
      </c>
      <c r="B11" s="16">
        <f>Telecom_Unit!M6</f>
        <v>2.295072115384615</v>
      </c>
      <c r="C11" s="2" t="s">
        <v>152</v>
      </c>
      <c r="D11" s="2">
        <v>2500</v>
      </c>
      <c r="E11" s="2"/>
      <c r="F11" s="2" t="s">
        <v>299</v>
      </c>
      <c r="G11" s="21">
        <f>Bid_Builder!J14</f>
        <v>5737.6802884615372</v>
      </c>
      <c r="H11" s="27">
        <f>Bid_Builder!K14</f>
        <v>0.31578947368421045</v>
      </c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 t="s">
        <v>359</v>
      </c>
      <c r="B12" s="16">
        <f>PLA_PerPole!N6</f>
        <v>12.416072542735039</v>
      </c>
      <c r="C12" s="2" t="s">
        <v>152</v>
      </c>
      <c r="D12" s="2">
        <v>1500</v>
      </c>
      <c r="E12" s="2"/>
      <c r="F12" s="2" t="s">
        <v>301</v>
      </c>
      <c r="G12" s="21">
        <f>Bid_Builder!J15</f>
        <v>18624.108814102558</v>
      </c>
      <c r="H12" s="27">
        <f>Bid_Builder!K15</f>
        <v>0.32989690721649473</v>
      </c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 t="s">
        <v>360</v>
      </c>
      <c r="B13" s="16">
        <f>LiDAR_Feature!M5</f>
        <v>0.55273131410256415</v>
      </c>
      <c r="C13" s="2" t="s">
        <v>214</v>
      </c>
      <c r="D13" s="2">
        <v>3000</v>
      </c>
      <c r="E13" s="2"/>
      <c r="F13" s="2" t="s">
        <v>304</v>
      </c>
      <c r="G13" s="21">
        <f>Bid_Builder!J16</f>
        <v>1658.1939423076924</v>
      </c>
      <c r="H13" s="27">
        <f>Bid_Builder!K16</f>
        <v>0.31578947368421056</v>
      </c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 t="s">
        <v>361</v>
      </c>
      <c r="B14" s="16">
        <f>GIS_Unit!L5</f>
        <v>0.71769230769230774</v>
      </c>
      <c r="C14" s="2" t="s">
        <v>208</v>
      </c>
      <c r="D14" s="2">
        <v>5000</v>
      </c>
      <c r="E14" s="2"/>
      <c r="F14" s="2" t="s">
        <v>307</v>
      </c>
      <c r="G14" s="21">
        <f>Bid_Builder!J17</f>
        <v>3588.4615384615386</v>
      </c>
      <c r="H14" s="27">
        <f>Bid_Builder!K17</f>
        <v>0.35000000000000003</v>
      </c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 t="s">
        <v>342</v>
      </c>
      <c r="B15" s="16">
        <f>Field_Collection!L6</f>
        <v>7.7538461538461547</v>
      </c>
      <c r="C15" s="2" t="s">
        <v>152</v>
      </c>
      <c r="D15" s="2">
        <v>2500</v>
      </c>
      <c r="E15" s="2"/>
      <c r="F15" s="2" t="s">
        <v>310</v>
      </c>
      <c r="G15" s="21">
        <f>Bid_Builder!J18</f>
        <v>226.92307692307693</v>
      </c>
      <c r="H15" s="27">
        <f>Bid_Builder!K18</f>
        <v>0.35000000000000003</v>
      </c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 t="s">
        <v>345</v>
      </c>
      <c r="B16" s="16">
        <f>QA_QC!L5</f>
        <v>2.2692307692307692E-2</v>
      </c>
      <c r="C16" s="2" t="s">
        <v>346</v>
      </c>
      <c r="D16" s="2">
        <v>10000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mergeCells count="1">
    <mergeCell ref="A1:L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40"/>
  <sheetViews>
    <sheetView workbookViewId="0"/>
  </sheetViews>
  <sheetFormatPr defaultRowHeight="13.8"/>
  <cols>
    <col min="1" max="1" width="30" customWidth="1"/>
    <col min="2" max="2" width="28" customWidth="1"/>
    <col min="3" max="3" width="55" customWidth="1"/>
    <col min="4" max="4" width="80" customWidth="1"/>
  </cols>
  <sheetData>
    <row r="1" spans="1:17" ht="22.35" customHeight="1">
      <c r="A1" s="28" t="s">
        <v>362</v>
      </c>
      <c r="B1" s="29"/>
      <c r="C1" s="29"/>
      <c r="D1" s="29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3" t="s">
        <v>363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24" customHeight="1">
      <c r="A4" s="1" t="s">
        <v>364</v>
      </c>
      <c r="B4" s="1" t="s">
        <v>365</v>
      </c>
      <c r="C4" s="1" t="s">
        <v>366</v>
      </c>
      <c r="D4" s="1" t="s">
        <v>367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27.6">
      <c r="A5" s="5" t="s">
        <v>368</v>
      </c>
      <c r="B5" s="5" t="s">
        <v>369</v>
      </c>
      <c r="C5" s="5" t="s">
        <v>370</v>
      </c>
      <c r="D5" s="5" t="s">
        <v>371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27.6">
      <c r="A6" s="5" t="s">
        <v>372</v>
      </c>
      <c r="B6" s="5" t="s">
        <v>373</v>
      </c>
      <c r="C6" s="5" t="s">
        <v>374</v>
      </c>
      <c r="D6" s="5" t="s">
        <v>375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27.6">
      <c r="A7" s="5" t="s">
        <v>376</v>
      </c>
      <c r="B7" s="5" t="s">
        <v>377</v>
      </c>
      <c r="C7" s="5" t="s">
        <v>378</v>
      </c>
      <c r="D7" s="5" t="s">
        <v>379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27.6">
      <c r="A8" s="5" t="s">
        <v>380</v>
      </c>
      <c r="B8" s="5" t="s">
        <v>381</v>
      </c>
      <c r="C8" s="5" t="s">
        <v>382</v>
      </c>
      <c r="D8" s="5" t="s">
        <v>383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27.6">
      <c r="A9" s="5" t="s">
        <v>384</v>
      </c>
      <c r="B9" s="5" t="s">
        <v>385</v>
      </c>
      <c r="C9" s="5" t="s">
        <v>386</v>
      </c>
      <c r="D9" s="5" t="s">
        <v>387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27.6">
      <c r="A10" s="5" t="s">
        <v>388</v>
      </c>
      <c r="B10" s="5" t="s">
        <v>389</v>
      </c>
      <c r="C10" s="5" t="s">
        <v>390</v>
      </c>
      <c r="D10" s="5" t="s">
        <v>391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Assumptions</vt:lpstr>
      <vt:lpstr>Role_Rates</vt:lpstr>
      <vt:lpstr>DeskOps_Hourly</vt:lpstr>
      <vt:lpstr>DeskOps_FTE</vt:lpstr>
      <vt:lpstr>Telecom_Unit</vt:lpstr>
      <vt:lpstr>PLA_PerPole</vt:lpstr>
      <vt:lpstr>LiDAR_Feature</vt:lpstr>
      <vt:lpstr>GIS_Unit</vt:lpstr>
      <vt:lpstr>Field_Collection</vt:lpstr>
      <vt:lpstr>QA_QC</vt:lpstr>
      <vt:lpstr>Scenario_Compare</vt:lpstr>
      <vt:lpstr>Bid_Builder</vt:lpstr>
      <vt:lpstr>Customer_RateCard</vt:lpstr>
      <vt:lpstr>Dashboard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Madhavarao Dummu</cp:lastModifiedBy>
  <dcterms:modified xsi:type="dcterms:W3CDTF">2026-09-23T15:07:59Z</dcterms:modified>
</cp:coreProperties>
</file>