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ee158fcee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VIGATION" sheetId="1" r:id="Re0963f48c2684731"/>
    <x:sheet xmlns:r="http://schemas.openxmlformats.org/officeDocument/2006/relationships" name="Assumptions" sheetId="2" r:id="R8f90560cc34f47cf"/>
    <x:sheet xmlns:r="http://schemas.openxmlformats.org/officeDocument/2006/relationships" name="Role_Rates" sheetId="3" r:id="R9da48091f4704328"/>
    <x:sheet xmlns:r="http://schemas.openxmlformats.org/officeDocument/2006/relationships" name="Model_Guide" sheetId="4" r:id="Re49debdad30a4698"/>
    <x:sheet xmlns:r="http://schemas.openxmlformats.org/officeDocument/2006/relationships" name="DeskOps_Hourly" sheetId="5" r:id="Rb8e89000ef17477a"/>
    <x:sheet xmlns:r="http://schemas.openxmlformats.org/officeDocument/2006/relationships" name="DeskOps_FTE" sheetId="6" r:id="R09bccac545df4c20"/>
    <x:sheet xmlns:r="http://schemas.openxmlformats.org/officeDocument/2006/relationships" name="Nav_RoadNetwork" sheetId="7" r:id="R1ea629c602774c17"/>
    <x:sheet xmlns:r="http://schemas.openxmlformats.org/officeDocument/2006/relationships" name="Nav_Attributes" sheetId="8" r:id="R893780737f1c41ed"/>
    <x:sheet xmlns:r="http://schemas.openxmlformats.org/officeDocument/2006/relationships" name="POI_PointAddress" sheetId="9" r:id="Rae3006092d7b4fae"/>
    <x:sheet xmlns:r="http://schemas.openxmlformats.org/officeDocument/2006/relationships" name="StreetView_Capture" sheetId="10" r:id="R9a55e3d31c5044bc"/>
    <x:sheet xmlns:r="http://schemas.openxmlformats.org/officeDocument/2006/relationships" name="StreetView_Process" sheetId="11" r:id="R49afdd84265d4e7f"/>
    <x:sheet xmlns:r="http://schemas.openxmlformats.org/officeDocument/2006/relationships" name="Trails_FieldVerify" sheetId="12" r:id="R6191c90a67164d86"/>
    <x:sheet xmlns:r="http://schemas.openxmlformats.org/officeDocument/2006/relationships" name="Imagery_Ingestion" sheetId="13" r:id="Rba645304cfe74836"/>
    <x:sheet xmlns:r="http://schemas.openxmlformats.org/officeDocument/2006/relationships" name="LiDAR_Processing" sheetId="14" r:id="R33659da64fb54f9d"/>
    <x:sheet xmlns:r="http://schemas.openxmlformats.org/officeDocument/2006/relationships" name="LiDAR_Feature" sheetId="15" r:id="R1f8b63be2f0e44b0"/>
    <x:sheet xmlns:r="http://schemas.openxmlformats.org/officeDocument/2006/relationships" name="Pavement_Intel" sheetId="16" r:id="Rcaec5428c3c042dd"/>
    <x:sheet xmlns:r="http://schemas.openxmlformats.org/officeDocument/2006/relationships" name="Photogrammetry_Ortho" sheetId="17" r:id="R2bbbe50e6589480a"/>
    <x:sheet xmlns:r="http://schemas.openxmlformats.org/officeDocument/2006/relationships" name="Drone_Survey" sheetId="18" r:id="R5d940cf97639448e"/>
    <x:sheet xmlns:r="http://schemas.openxmlformats.org/officeDocument/2006/relationships" name="Satellite_RS" sheetId="19" r:id="R5f3c991350ce4161"/>
    <x:sheet xmlns:r="http://schemas.openxmlformats.org/officeDocument/2006/relationships" name="Cadastral_Parcel" sheetId="20" r:id="R2afe14d02ad649ad"/>
    <x:sheet xmlns:r="http://schemas.openxmlformats.org/officeDocument/2006/relationships" name="LULC_Change" sheetId="21" r:id="Rda8a83ea66d44c91"/>
    <x:sheet xmlns:r="http://schemas.openxmlformats.org/officeDocument/2006/relationships" name="GIS_Digitization" sheetId="22" r:id="Rd22a4b70a2c1438f"/>
    <x:sheet xmlns:r="http://schemas.openxmlformats.org/officeDocument/2006/relationships" name="Geocode_Validation" sheetId="23" r:id="Rd410b28f53474429"/>
    <x:sheet xmlns:r="http://schemas.openxmlformats.org/officeDocument/2006/relationships" name="Field_Collection" sheetId="24" r:id="R830afb29982c45ee"/>
    <x:sheet xmlns:r="http://schemas.openxmlformats.org/officeDocument/2006/relationships" name="GIS_Cloud_Hosting" sheetId="25" r:id="R7ed10f2b16734345"/>
    <x:sheet xmlns:r="http://schemas.openxmlformats.org/officeDocument/2006/relationships" name="QA_QC" sheetId="26" r:id="R3b698d57488045f3"/>
    <x:sheet xmlns:r="http://schemas.openxmlformats.org/officeDocument/2006/relationships" name="Managed_Service" sheetId="27" r:id="R2b8e219084d4479a"/>
    <x:sheet xmlns:r="http://schemas.openxmlformats.org/officeDocument/2006/relationships" name="Market_Benchmarks" sheetId="28" r:id="R4fb81efa6f9c48d1"/>
    <x:sheet xmlns:r="http://schemas.openxmlformats.org/officeDocument/2006/relationships" name="Sources" sheetId="29" r:id="R7342f51b9ce348ec"/>
    <x:sheet xmlns:r="http://schemas.openxmlformats.org/officeDocument/2006/relationships" name="Scenario_Compare" sheetId="30" r:id="R15da761e38974fbf"/>
    <x:sheet xmlns:r="http://schemas.openxmlformats.org/officeDocument/2006/relationships" name="Bid_Builder" sheetId="31" r:id="R6ee89fdf26ef4ab3"/>
    <x:sheet xmlns:r="http://schemas.openxmlformats.org/officeDocument/2006/relationships" name="Customer_RateCard" sheetId="32" r:id="R27dd96a41c094aa0"/>
    <x:sheet xmlns:r="http://schemas.openxmlformats.org/officeDocument/2006/relationships" name="Dashboard" sheetId="33" r:id="Recd68651bd27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$#,##0"/>
    <x:numFmt numFmtId="202" formatCode="$#,##0.00"/>
    <x:numFmt numFmtId="203" formatCode="0.00"/>
    <x:numFmt numFmtId="204" formatCode="$#,##0.0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9"/>
      <x:color rgb="FFFFFFFF"/>
      <x:name val="Carlito"/>
    </x:font>
    <x:font>
      <x:i/>
      <x:sz val="11"/>
      <x:color rgb="FF6B7280"/>
      <x:name val="Carlito"/>
    </x:font>
    <x:font>
      <x:b/>
      <x:sz val="11"/>
      <x:color rgb="FF12344D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0879B9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F3F8FB"/>
      </x:patternFill>
    </x:fill>
    <x:fill>
      <x:patternFill patternType="solid">
        <x:fgColor rgb="FF0879B9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EAF4F8"/>
      </x:patternFill>
    </x:fill>
    <x:fill>
      <x:patternFill patternType="solid">
        <x:fgColor rgb="FFE2F0D9"/>
      </x:patternFill>
    </x:fill>
    <x:fill>
      <x:patternFill patternType="solid">
        <x:fgColor rgb="FFE8EEF4"/>
      </x:patternFill>
    </x:fill>
    <x:fill>
      <x:patternFill patternType="solid">
        <x:fgColor rgb="FFEEF5E7"/>
      </x:patternFill>
    </x:fill>
    <x:fill>
      <x:patternFill patternType="solid">
        <x:fgColor rgb="FFE5F2FB"/>
      </x:patternFill>
    </x:fill>
    <x:fill>
      <x:patternFill patternType="solid">
        <x:fgColor rgb="FFF5EAF7"/>
      </x:patternFill>
    </x:fill>
    <x:fill>
      <x:patternFill patternType="solid">
        <x:fgColor rgb="FFE9EEF9"/>
      </x:patternFill>
    </x:fill>
    <x:fill>
      <x:patternFill patternType="solid">
        <x:fgColor rgb="FFF9EEDD"/>
      </x:patternFill>
    </x:fill>
    <x:fill>
      <x:patternFill patternType="solid">
        <x:fgColor rgb="FFEAF7F1"/>
      </x:patternFill>
    </x:fill>
    <x:fill>
      <x:patternFill patternType="solid">
        <x:fgColor rgb="FFEFF4E8"/>
      </x:patternFill>
    </x:fill>
    <x:fill>
      <x:patternFill patternType="solid">
        <x:fgColor rgb="FFFFF2E1"/>
      </x:patternFill>
    </x:fill>
    <x:fill>
      <x:patternFill patternType="solid">
        <x:fgColor rgb="FFEEF0FF"/>
      </x:patternFill>
    </x:fill>
    <x:fill>
      <x:patternFill patternType="solid">
        <x:fgColor rgb="FFFCECEC"/>
      </x:patternFill>
    </x:fill>
    <x:fill>
      <x:patternFill patternType="solid">
        <x:fgColor rgb="FFFFF4CC"/>
      </x:patternFill>
    </x:fill>
    <x:fill>
      <x:patternFill patternType="solid">
        <x:fgColor rgb="FFF0F0F0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202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202" fontId="6" fillId="8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202" fontId="7" fillId="2" borderId="0" xfId="0" applyNumberFormat="1" applyFont="1" applyFill="1" applyBorder="1"/>
    <x:xf numFmtId="202" fontId="7" fillId="2" borderId="1" xfId="0" applyNumberFormat="1" applyFont="1" applyFill="1" applyBorder="1"/>
    <x:xf numFmtId="200" fontId="7" fillId="2" borderId="0" xfId="0" applyNumberFormat="1" applyFont="1" applyFill="1" applyBorder="1"/>
    <x:xf numFmtId="200" fontId="7" fillId="2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6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6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wrapText="1"/>
    </x:xf>
    <x:xf numFmtId="0" fontId="6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wrapText="1"/>
    </x:xf>
    <x:xf numFmtId="0" fontId="6" fillId="14" borderId="1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wrapText="1"/>
    </x:xf>
    <x:xf numFmtId="0" fontId="6" fillId="15" borderId="1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6" borderId="1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wrapText="1"/>
    </x:xf>
    <x:xf numFmtId="0" fontId="6" fillId="16" borderId="1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wrapText="1"/>
    </x:xf>
    <x:xf numFmtId="0" fontId="6" fillId="17" borderId="1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0" fontId="6" fillId="18" borderId="0" xfId="0" applyNumberFormat="1" applyFont="1" applyFill="1" applyBorder="1" applyAlignment="1">
      <x:alignment wrapText="1"/>
    </x:xf>
    <x:xf numFmtId="0" fontId="6" fillId="18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6" fillId="19" borderId="0" xfId="0" applyNumberFormat="1" applyFont="1" applyFill="1" applyBorder="1" applyAlignment="1">
      <x:alignment wrapText="1"/>
    </x:xf>
    <x:xf numFmtId="0" fontId="6" fillId="19" borderId="1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0" fontId="6" fillId="20" borderId="0" xfId="0" applyNumberFormat="1" applyFont="1" applyFill="1" applyBorder="1" applyAlignment="1">
      <x:alignment wrapText="1"/>
    </x:xf>
    <x:xf numFmtId="0" fontId="6" fillId="20" borderId="1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21" borderId="1" xfId="0" applyNumberFormat="1" applyFont="1" applyFill="1" applyBorder="1" applyAlignment="1">
      <x:alignment wrapText="1"/>
    </x:xf>
    <x:xf numFmtId="0" fontId="6" fillId="21" borderId="0" xfId="0" applyNumberFormat="1" applyFont="1" applyFill="1" applyBorder="1" applyAlignment="1">
      <x:alignment wrapText="1"/>
    </x:xf>
    <x:xf numFmtId="0" fontId="6" fillId="21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4c5009877491e" /><Relationship Type="http://schemas.openxmlformats.org/officeDocument/2006/relationships/theme" Target="/xl/theme/theme1.xml" Id="R6039164f6ae04a7f" /><Relationship Type="http://schemas.openxmlformats.org/officeDocument/2006/relationships/sharedStrings" Target="/xl/sharedStrings.xml" Id="R62296e8d95644203" /><Relationship Type="http://schemas.openxmlformats.org/officeDocument/2006/relationships/worksheet" Target="/xl/worksheets/sheet1.xml" Id="Re0963f48c2684731" /><Relationship Type="http://schemas.openxmlformats.org/officeDocument/2006/relationships/worksheet" Target="/xl/worksheets/sheet2.xml" Id="R8f90560cc34f47cf" /><Relationship Type="http://schemas.openxmlformats.org/officeDocument/2006/relationships/worksheet" Target="/xl/worksheets/sheet3.xml" Id="R9da48091f4704328" /><Relationship Type="http://schemas.openxmlformats.org/officeDocument/2006/relationships/worksheet" Target="/xl/worksheets/sheet4.xml" Id="Re49debdad30a4698" /><Relationship Type="http://schemas.openxmlformats.org/officeDocument/2006/relationships/worksheet" Target="/xl/worksheets/sheet5.xml" Id="Rb8e89000ef17477a" /><Relationship Type="http://schemas.openxmlformats.org/officeDocument/2006/relationships/worksheet" Target="/xl/worksheets/sheet6.xml" Id="R09bccac545df4c20" /><Relationship Type="http://schemas.openxmlformats.org/officeDocument/2006/relationships/worksheet" Target="/xl/worksheets/sheet7.xml" Id="R1ea629c602774c17" /><Relationship Type="http://schemas.openxmlformats.org/officeDocument/2006/relationships/worksheet" Target="/xl/worksheets/sheet8.xml" Id="R893780737f1c41ed" /><Relationship Type="http://schemas.openxmlformats.org/officeDocument/2006/relationships/worksheet" Target="/xl/worksheets/sheet9.xml" Id="Rae3006092d7b4fae" /><Relationship Type="http://schemas.openxmlformats.org/officeDocument/2006/relationships/worksheet" Target="/xl/worksheets/sheet10.xml" Id="R9a55e3d31c5044bc" /><Relationship Type="http://schemas.openxmlformats.org/officeDocument/2006/relationships/worksheet" Target="/xl/worksheets/sheet11.xml" Id="R49afdd84265d4e7f" /><Relationship Type="http://schemas.openxmlformats.org/officeDocument/2006/relationships/worksheet" Target="/xl/worksheets/sheet12.xml" Id="R6191c90a67164d86" /><Relationship Type="http://schemas.openxmlformats.org/officeDocument/2006/relationships/worksheet" Target="/xl/worksheets/sheet13.xml" Id="Rba645304cfe74836" /><Relationship Type="http://schemas.openxmlformats.org/officeDocument/2006/relationships/worksheet" Target="/xl/worksheets/sheet14.xml" Id="R33659da64fb54f9d" /><Relationship Type="http://schemas.openxmlformats.org/officeDocument/2006/relationships/worksheet" Target="/xl/worksheets/sheet15.xml" Id="R1f8b63be2f0e44b0" /><Relationship Type="http://schemas.openxmlformats.org/officeDocument/2006/relationships/worksheet" Target="/xl/worksheets/sheet16.xml" Id="Rcaec5428c3c042dd" /><Relationship Type="http://schemas.openxmlformats.org/officeDocument/2006/relationships/worksheet" Target="/xl/worksheets/sheet17.xml" Id="R2bbbe50e6589480a" /><Relationship Type="http://schemas.openxmlformats.org/officeDocument/2006/relationships/worksheet" Target="/xl/worksheets/sheet18.xml" Id="R5d940cf97639448e" /><Relationship Type="http://schemas.openxmlformats.org/officeDocument/2006/relationships/worksheet" Target="/xl/worksheets/sheet19.xml" Id="R5f3c991350ce4161" /><Relationship Type="http://schemas.openxmlformats.org/officeDocument/2006/relationships/worksheet" Target="/xl/worksheets/sheet20.xml" Id="R2afe14d02ad649ad" /><Relationship Type="http://schemas.openxmlformats.org/officeDocument/2006/relationships/worksheet" Target="/xl/worksheets/sheet21.xml" Id="Rda8a83ea66d44c91" /><Relationship Type="http://schemas.openxmlformats.org/officeDocument/2006/relationships/worksheet" Target="/xl/worksheets/sheet22.xml" Id="Rd22a4b70a2c1438f" /><Relationship Type="http://schemas.openxmlformats.org/officeDocument/2006/relationships/worksheet" Target="/xl/worksheets/sheet23.xml" Id="Rd410b28f53474429" /><Relationship Type="http://schemas.openxmlformats.org/officeDocument/2006/relationships/worksheet" Target="/xl/worksheets/sheet24.xml" Id="R830afb29982c45ee" /><Relationship Type="http://schemas.openxmlformats.org/officeDocument/2006/relationships/worksheet" Target="/xl/worksheets/sheet25.xml" Id="R7ed10f2b16734345" /><Relationship Type="http://schemas.openxmlformats.org/officeDocument/2006/relationships/worksheet" Target="/xl/worksheets/sheet26.xml" Id="R3b698d57488045f3" /><Relationship Type="http://schemas.openxmlformats.org/officeDocument/2006/relationships/worksheet" Target="/xl/worksheets/sheet27.xml" Id="R2b8e219084d4479a" /><Relationship Type="http://schemas.openxmlformats.org/officeDocument/2006/relationships/worksheet" Target="/xl/worksheets/sheet28.xml" Id="R4fb81efa6f9c48d1" /><Relationship Type="http://schemas.openxmlformats.org/officeDocument/2006/relationships/worksheet" Target="/xl/worksheets/sheet29.xml" Id="R7342f51b9ce348ec" /><Relationship Type="http://schemas.openxmlformats.org/officeDocument/2006/relationships/worksheet" Target="/xl/worksheets/sheet30.xml" Id="R15da761e38974fbf" /><Relationship Type="http://schemas.openxmlformats.org/officeDocument/2006/relationships/worksheet" Target="/xl/worksheets/sheet31.xml" Id="R6ee89fdf26ef4ab3" /><Relationship Type="http://schemas.openxmlformats.org/officeDocument/2006/relationships/worksheet" Target="/xl/worksheets/sheet32.xml" Id="R27dd96a41c094aa0" /><Relationship Type="http://schemas.openxmlformats.org/officeDocument/2006/relationships/worksheet" Target="/xl/worksheets/sheet33.xml" Id="Recd68651bd274a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fd9861b79a4a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Default Scenario Sell Value by Template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Default Scenario Sell</c:v>
          </c:tx>
          <c:cat>
            <c:strRef>
              <c:f>'Dashboard'!$D$5:$D$20</c:f>
              <c:strCache>
                <c:ptCount val="0"/>
              </c:strCache>
            </c:strRef>
          </c:cat>
          <c:val>
            <c:numRef>
              <c:f>'Dashboard'!$E$5:$E$20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fd9861b79a4a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544ab34471cc466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34" hidden="0" customWidth="1"/>
    <x:col min="5" max="5" width="22" hidden="0" customWidth="1"/>
    <x:col min="6" max="6" width="12" hidden="0" customWidth="1"/>
    <x:col min="7" max="7" width="28" hidden="0" customWidth="1"/>
  </x:cols>
  <x:sheetData>
    <x:row r="1" ht="28" customHeight="1">
      <x:c r="A1" s="5" t="str">
        <x:v>JSAN GIS Pricing Template Library</x:v>
      </x:c>
      <x:c r="B1" s="5"/>
      <x:c r="C1" s="5"/>
      <x:c r="D1" s="5"/>
      <x:c r="E1" s="5"/>
      <x:c r="F1" s="5"/>
      <x:c r="G1" s="5"/>
    </x:row>
    <x:row r="2" ht="30" customHeight="1">
      <x:c r="A2" s="12" t="str">
        <x:v>Comprehensive GIS / Navigation / LiDAR / Imagery / Remote Sensing pricing models. Telecom/PLA excluded.</x:v>
      </x:c>
      <x:c r="B2" s="12"/>
      <x:c r="C2" s="12"/>
      <x:c r="D2" s="12"/>
      <x:c r="E2" s="12"/>
      <x:c r="F2" s="12"/>
      <x:c r="G2" s="12"/>
    </x:row>
    <x:row r="4">
      <x:c r="A4" s="20" t="str">
        <x:v>Category</x:v>
      </x:c>
      <x:c r="B4" s="20" t="str">
        <x:v>Template</x:v>
      </x:c>
      <x:c r="C4" s="20" t="str">
        <x:v>Primary Pricing Metric</x:v>
      </x:c>
      <x:c r="D4" s="20" t="str">
        <x:v>Best Use</x:v>
      </x:c>
      <x:c r="E4" s="20" t="str">
        <x:v>Commercial Model</x:v>
      </x:c>
      <x:c r="F4" s="20" t="str">
        <x:v>Go To Sheet</x:v>
      </x:c>
      <x:c r="G4" s="20" t="str">
        <x:v>Notes</x:v>
      </x:c>
    </x:row>
    <x:row r="5">
      <x:c r="A5" s="94" t="str">
        <x:v>Setup</x:v>
      </x:c>
      <x:c r="B5" s="42" t="str">
        <x:v>Assumptions</x:v>
      </x:c>
      <x:c r="C5" s="42" t="str">
        <x:v>Global % / multiplier</x:v>
      </x:c>
      <x:c r="D5" s="42" t="str">
        <x:v>All models</x:v>
      </x:c>
      <x:c r="E5" s="42" t="str">
        <x:v>Global assumptions</x:v>
      </x:c>
      <x:c r="F5" s="88" t="str">
        <x:v>Assumptions</x:v>
      </x:c>
      <x:c r="G5" s="42" t="str">
        <x:v>Edit first</x:v>
      </x:c>
    </x:row>
    <x:row r="6">
      <x:c r="A6" s="94" t="str">
        <x:v>Setup</x:v>
      </x:c>
      <x:c r="B6" s="42" t="str">
        <x:v>Role_Rates</x:v>
      </x:c>
      <x:c r="C6" s="42" t="str">
        <x:v>Hourly loaded cost</x:v>
      </x:c>
      <x:c r="D6" s="42" t="str">
        <x:v>All models</x:v>
      </x:c>
      <x:c r="E6" s="42" t="str">
        <x:v>Cost-to-sell rate</x:v>
      </x:c>
      <x:c r="F6" s="88" t="str">
        <x:v>Role_Rates</x:v>
      </x:c>
      <x:c r="G6" s="42" t="str">
        <x:v>Replace illustrative costs</x:v>
      </x:c>
    </x:row>
    <x:row r="7">
      <x:c r="A7" s="94" t="str">
        <x:v>Guide</x:v>
      </x:c>
      <x:c r="B7" s="42" t="str">
        <x:v>Model_Guide</x:v>
      </x:c>
      <x:c r="C7" s="42" t="str">
        <x:v>Metric selection</x:v>
      </x:c>
      <x:c r="D7" s="42" t="str">
        <x:v>Bid strategy</x:v>
      </x:c>
      <x:c r="E7" s="42" t="str">
        <x:v>Choose right pricing model</x:v>
      </x:c>
      <x:c r="F7" s="88" t="str">
        <x:v>Model_Guide</x:v>
      </x:c>
      <x:c r="G7" s="42" t="str"/>
    </x:row>
    <x:row r="8">
      <x:c r="A8" s="98" t="str">
        <x:v>Desk Ops</x:v>
      </x:c>
      <x:c r="B8" s="42" t="str">
        <x:v>DeskOps_Hourly</x:v>
      </x:c>
      <x:c r="C8" s="42" t="str">
        <x:v>hour</x:v>
      </x:c>
      <x:c r="D8" s="42" t="str">
        <x:v>Ad-hoc GIS / PoC</x:v>
      </x:c>
      <x:c r="E8" s="42" t="str">
        <x:v>T&amp;M</x:v>
      </x:c>
      <x:c r="F8" s="88" t="str">
        <x:v>DeskOps_Hourly</x:v>
      </x:c>
      <x:c r="G8" s="42" t="str"/>
    </x:row>
    <x:row r="9">
      <x:c r="A9" s="98" t="str">
        <x:v>Desk Ops</x:v>
      </x:c>
      <x:c r="B9" s="42" t="str">
        <x:v>DeskOps_FTE</x:v>
      </x:c>
      <x:c r="C9" s="42" t="str">
        <x:v>FTE-month</x:v>
      </x:c>
      <x:c r="D9" s="42" t="str">
        <x:v>Managed desk operations</x:v>
      </x:c>
      <x:c r="E9" s="42" t="str">
        <x:v>Monthly FTE</x:v>
      </x:c>
      <x:c r="F9" s="88" t="str">
        <x:v>DeskOps_FTE</x:v>
      </x:c>
      <x:c r="G9" s="42" t="str"/>
    </x:row>
    <x:row r="10">
      <x:c r="A10" s="102" t="str">
        <x:v>Navigation</x:v>
      </x:c>
      <x:c r="B10" s="42" t="str">
        <x:v>Nav_RoadNetwork</x:v>
      </x:c>
      <x:c r="C10" s="42" t="str">
        <x:v>road-km / road-link</x:v>
      </x:c>
      <x:c r="D10" s="42" t="str">
        <x:v>Road geometry/topology</x:v>
      </x:c>
      <x:c r="E10" s="42" t="str">
        <x:v>Unit</x:v>
      </x:c>
      <x:c r="F10" s="88" t="str">
        <x:v>Nav_RoadNetwork</x:v>
      </x:c>
      <x:c r="G10" s="42" t="str"/>
    </x:row>
    <x:row r="11">
      <x:c r="A11" s="102" t="str">
        <x:v>Navigation</x:v>
      </x:c>
      <x:c r="B11" s="42" t="str">
        <x:v>Nav_Attributes</x:v>
      </x:c>
      <x:c r="C11" s="42" t="str">
        <x:v>attribute / feature</x:v>
      </x:c>
      <x:c r="D11" s="42" t="str">
        <x:v>Speed/turn/sign/lane/toll/access</x:v>
      </x:c>
      <x:c r="E11" s="42" t="str">
        <x:v>Unit</x:v>
      </x:c>
      <x:c r="F11" s="88" t="str">
        <x:v>Nav_Attributes</x:v>
      </x:c>
      <x:c r="G11" s="42" t="str"/>
    </x:row>
    <x:row r="12">
      <x:c r="A12" s="102" t="str">
        <x:v>Navigation</x:v>
      </x:c>
      <x:c r="B12" s="42" t="str">
        <x:v>POI_PointAddress</x:v>
      </x:c>
      <x:c r="C12" s="42" t="str">
        <x:v>verified record</x:v>
      </x:c>
      <x:c r="D12" s="42" t="str">
        <x:v>POI / addresses</x:v>
      </x:c>
      <x:c r="E12" s="42" t="str">
        <x:v>Unit</x:v>
      </x:c>
      <x:c r="F12" s="88" t="str">
        <x:v>POI_PointAddress</x:v>
      </x:c>
      <x:c r="G12" s="42" t="str"/>
    </x:row>
    <x:row r="13">
      <x:c r="A13" s="102" t="str">
        <x:v>Navigation</x:v>
      </x:c>
      <x:c r="B13" s="42" t="str">
        <x:v>StreetView_Capture</x:v>
      </x:c>
      <x:c r="C13" s="42" t="str">
        <x:v>road-km / day</x:v>
      </x:c>
      <x:c r="D13" s="42" t="str">
        <x:v>Street-level capture</x:v>
      </x:c>
      <x:c r="E13" s="42" t="str">
        <x:v>Hybrid</x:v>
      </x:c>
      <x:c r="F13" s="88" t="str">
        <x:v>StreetView_Capture</x:v>
      </x:c>
      <x:c r="G13" s="42" t="str"/>
    </x:row>
    <x:row r="14">
      <x:c r="A14" s="102" t="str">
        <x:v>Navigation</x:v>
      </x:c>
      <x:c r="B14" s="42" t="str">
        <x:v>StreetView_Process</x:v>
      </x:c>
      <x:c r="C14" s="42" t="str">
        <x:v>panorama / road-km</x:v>
      </x:c>
      <x:c r="D14" s="42" t="str">
        <x:v>Imagery processing</x:v>
      </x:c>
      <x:c r="E14" s="42" t="str">
        <x:v>Unit</x:v>
      </x:c>
      <x:c r="F14" s="88" t="str">
        <x:v>StreetView_Process</x:v>
      </x:c>
      <x:c r="G14" s="42" t="str"/>
    </x:row>
    <x:row r="15">
      <x:c r="A15" s="102" t="str">
        <x:v>Navigation</x:v>
      </x:c>
      <x:c r="B15" s="42" t="str">
        <x:v>Trails_FieldVerify</x:v>
      </x:c>
      <x:c r="C15" s="42" t="str">
        <x:v>route-km + feature</x:v>
      </x:c>
      <x:c r="D15" s="42" t="str">
        <x:v>Road/trail field verification</x:v>
      </x:c>
      <x:c r="E15" s="42" t="str">
        <x:v>Hybrid</x:v>
      </x:c>
      <x:c r="F15" s="88" t="str">
        <x:v>Trails_FieldVerify</x:v>
      </x:c>
      <x:c r="G15" s="42" t="str"/>
    </x:row>
    <x:row r="16">
      <x:c r="A16" s="106" t="str">
        <x:v>Imagery Ops</x:v>
      </x:c>
      <x:c r="B16" s="42" t="str">
        <x:v>Imagery_Ingestion</x:v>
      </x:c>
      <x:c r="C16" s="42" t="str">
        <x:v>TB / disk / delivery</x:v>
      </x:c>
      <x:c r="D16" s="42" t="str">
        <x:v>Large imagery ingestion</x:v>
      </x:c>
      <x:c r="E16" s="42" t="str">
        <x:v>Unit</x:v>
      </x:c>
      <x:c r="F16" s="88" t="str">
        <x:v>Imagery_Ingestion</x:v>
      </x:c>
      <x:c r="G16" s="42" t="str"/>
    </x:row>
    <x:row r="17">
      <x:c r="A17" s="110" t="str">
        <x:v>LiDAR</x:v>
      </x:c>
      <x:c r="B17" s="42" t="str">
        <x:v>LiDAR_Processing</x:v>
      </x:c>
      <x:c r="C17" s="42" t="str">
        <x:v>sq-km / tile / points</x:v>
      </x:c>
      <x:c r="D17" s="42" t="str">
        <x:v>Classification / DTM / DSM</x:v>
      </x:c>
      <x:c r="E17" s="42" t="str">
        <x:v>Unit</x:v>
      </x:c>
      <x:c r="F17" s="88" t="str">
        <x:v>LiDAR_Processing</x:v>
      </x:c>
      <x:c r="G17" s="42" t="str"/>
    </x:row>
    <x:row r="18">
      <x:c r="A18" s="110" t="str">
        <x:v>LiDAR</x:v>
      </x:c>
      <x:c r="B18" s="42" t="str">
        <x:v>LiDAR_Feature</x:v>
      </x:c>
      <x:c r="C18" s="42" t="str">
        <x:v>feature / hour</x:v>
      </x:c>
      <x:c r="D18" s="42" t="str">
        <x:v>Viewer / feature extraction</x:v>
      </x:c>
      <x:c r="E18" s="42" t="str">
        <x:v>Unit/T&amp;M</x:v>
      </x:c>
      <x:c r="F18" s="88" t="str">
        <x:v>LiDAR_Feature</x:v>
      </x:c>
      <x:c r="G18" s="42" t="str"/>
    </x:row>
    <x:row r="19">
      <x:c r="A19" s="114" t="str">
        <x:v>Road Intelligence</x:v>
      </x:c>
      <x:c r="B19" s="42" t="str">
        <x:v>Pavement_Intel</x:v>
      </x:c>
      <x:c r="C19" s="42" t="str">
        <x:v>lane-km / feature</x:v>
      </x:c>
      <x:c r="D19" s="42" t="str">
        <x:v>Pavement analytics</x:v>
      </x:c>
      <x:c r="E19" s="42" t="str">
        <x:v>Unit</x:v>
      </x:c>
      <x:c r="F19" s="88" t="str">
        <x:v>Pavement_Intel</x:v>
      </x:c>
      <x:c r="G19" s="42" t="str"/>
    </x:row>
    <x:row r="20">
      <x:c r="A20" s="118" t="str">
        <x:v>Aerial</x:v>
      </x:c>
      <x:c r="B20" s="42" t="str">
        <x:v>Photogrammetry_Ortho</x:v>
      </x:c>
      <x:c r="C20" s="42" t="str">
        <x:v>sq-km / GCP</x:v>
      </x:c>
      <x:c r="D20" s="42" t="str">
        <x:v>Ortho / DSM / DTM / 3D</x:v>
      </x:c>
      <x:c r="E20" s="42" t="str">
        <x:v>Unit</x:v>
      </x:c>
      <x:c r="F20" s="88" t="str">
        <x:v>Photogrammetry_Ortho</x:v>
      </x:c>
      <x:c r="G20" s="42" t="str"/>
    </x:row>
    <x:row r="21">
      <x:c r="A21" s="118" t="str">
        <x:v>Aerial</x:v>
      </x:c>
      <x:c r="B21" s="42" t="str">
        <x:v>Drone_Survey</x:v>
      </x:c>
      <x:c r="C21" s="42" t="str">
        <x:v>acre / corridor-km</x:v>
      </x:c>
      <x:c r="D21" s="42" t="str">
        <x:v>UAV acquisition</x:v>
      </x:c>
      <x:c r="E21" s="42" t="str">
        <x:v>Unit + mobilization</x:v>
      </x:c>
      <x:c r="F21" s="88" t="str">
        <x:v>Drone_Survey</x:v>
      </x:c>
      <x:c r="G21" s="42" t="str"/>
    </x:row>
    <x:row r="22">
      <x:c r="A22" s="118" t="str">
        <x:v>Remote Sensing</x:v>
      </x:c>
      <x:c r="B22" s="42" t="str">
        <x:v>Satellite_RS</x:v>
      </x:c>
      <x:c r="C22" s="42" t="str">
        <x:v>sq-km / scene</x:v>
      </x:c>
      <x:c r="D22" s="42" t="str">
        <x:v>Satellite analytics</x:v>
      </x:c>
      <x:c r="E22" s="42" t="str">
        <x:v>Unit</x:v>
      </x:c>
      <x:c r="F22" s="88" t="str">
        <x:v>Satellite_RS</x:v>
      </x:c>
      <x:c r="G22" s="42" t="str"/>
    </x:row>
    <x:row r="23">
      <x:c r="A23" s="122" t="str">
        <x:v>GIS</x:v>
      </x:c>
      <x:c r="B23" s="42" t="str">
        <x:v>Cadastral_Parcel</x:v>
      </x:c>
      <x:c r="C23" s="42" t="str">
        <x:v>parcel / sheet</x:v>
      </x:c>
      <x:c r="D23" s="42" t="str">
        <x:v>Cadastral mapping</x:v>
      </x:c>
      <x:c r="E23" s="42" t="str">
        <x:v>Unit</x:v>
      </x:c>
      <x:c r="F23" s="88" t="str">
        <x:v>Cadastral_Parcel</x:v>
      </x:c>
      <x:c r="G23" s="42" t="str"/>
    </x:row>
    <x:row r="24">
      <x:c r="A24" s="122" t="str">
        <x:v>GIS</x:v>
      </x:c>
      <x:c r="B24" s="42" t="str">
        <x:v>LULC_Change</x:v>
      </x:c>
      <x:c r="C24" s="42" t="str">
        <x:v>sq-km / feature</x:v>
      </x:c>
      <x:c r="D24" s="42" t="str">
        <x:v>LULC/change detection</x:v>
      </x:c>
      <x:c r="E24" s="42" t="str">
        <x:v>Unit</x:v>
      </x:c>
      <x:c r="F24" s="88" t="str">
        <x:v>LULC_Change</x:v>
      </x:c>
      <x:c r="G24" s="42" t="str"/>
    </x:row>
    <x:row r="25">
      <x:c r="A25" s="122" t="str">
        <x:v>GIS</x:v>
      </x:c>
      <x:c r="B25" s="42" t="str">
        <x:v>GIS_Digitization</x:v>
      </x:c>
      <x:c r="C25" s="42" t="str">
        <x:v>feature / sq-km</x:v>
      </x:c>
      <x:c r="D25" s="42" t="str">
        <x:v>Generic digitization/extraction</x:v>
      </x:c>
      <x:c r="E25" s="42" t="str">
        <x:v>Unit</x:v>
      </x:c>
      <x:c r="F25" s="88" t="str">
        <x:v>GIS_Digitization</x:v>
      </x:c>
      <x:c r="G25" s="42" t="str"/>
    </x:row>
    <x:row r="26">
      <x:c r="A26" s="122" t="str">
        <x:v>GIS</x:v>
      </x:c>
      <x:c r="B26" s="42" t="str">
        <x:v>Geocode_Validation</x:v>
      </x:c>
      <x:c r="C26" s="42" t="str">
        <x:v>1,000 records / record</x:v>
      </x:c>
      <x:c r="D26" s="42" t="str">
        <x:v>Geocoding/address QA</x:v>
      </x:c>
      <x:c r="E26" s="42" t="str">
        <x:v>Hybrid</x:v>
      </x:c>
      <x:c r="F26" s="88" t="str">
        <x:v>Geocode_Validation</x:v>
      </x:c>
      <x:c r="G26" s="42" t="str"/>
    </x:row>
    <x:row r="27">
      <x:c r="A27" s="126" t="str">
        <x:v>Field</x:v>
      </x:c>
      <x:c r="B27" s="42" t="str">
        <x:v>Field_Collection</x:v>
      </x:c>
      <x:c r="C27" s="42" t="str">
        <x:v>day / km / feature</x:v>
      </x:c>
      <x:c r="D27" s="42" t="str">
        <x:v>General GIS field capture</x:v>
      </x:c>
      <x:c r="E27" s="42" t="str">
        <x:v>Hybrid</x:v>
      </x:c>
      <x:c r="F27" s="88" t="str">
        <x:v>Field_Collection</x:v>
      </x:c>
      <x:c r="G27" s="42" t="str"/>
    </x:row>
    <x:row r="28">
      <x:c r="A28" s="130" t="str">
        <x:v>Cloud</x:v>
      </x:c>
      <x:c r="B28" s="42" t="str">
        <x:v>GIS_Cloud_Hosting</x:v>
      </x:c>
      <x:c r="C28" s="42" t="str">
        <x:v>TB-month / user-month</x:v>
      </x:c>
      <x:c r="D28" s="42" t="str">
        <x:v>GIS hosting/viewer</x:v>
      </x:c>
      <x:c r="E28" s="42" t="str">
        <x:v>Usage + managed fee</x:v>
      </x:c>
      <x:c r="F28" s="88" t="str">
        <x:v>GIS_Cloud_Hosting</x:v>
      </x:c>
      <x:c r="G28" s="42" t="str"/>
    </x:row>
    <x:row r="29">
      <x:c r="A29" s="134" t="str">
        <x:v>Quality</x:v>
      </x:c>
      <x:c r="B29" s="42" t="str">
        <x:v>QA_QC</x:v>
      </x:c>
      <x:c r="C29" s="42" t="str">
        <x:v>sample / record / km</x:v>
      </x:c>
      <x:c r="D29" s="42" t="str">
        <x:v>Independent QA/QC</x:v>
      </x:c>
      <x:c r="E29" s="42" t="str">
        <x:v>Unit</x:v>
      </x:c>
      <x:c r="F29" s="88" t="str">
        <x:v>QA_QC</x:v>
      </x:c>
      <x:c r="G29" s="42" t="str"/>
    </x:row>
    <x:row r="30">
      <x:c r="A30" s="136" t="str">
        <x:v>Managed Service</x:v>
      </x:c>
      <x:c r="B30" s="42" t="str">
        <x:v>Managed_Service</x:v>
      </x:c>
      <x:c r="C30" s="42" t="str">
        <x:v>FTE-month</x:v>
      </x:c>
      <x:c r="D30" s="42" t="str">
        <x:v>Recurring GIS operations</x:v>
      </x:c>
      <x:c r="E30" s="42" t="str">
        <x:v>Monthly</x:v>
      </x:c>
      <x:c r="F30" s="88" t="str">
        <x:v>Managed_Service</x:v>
      </x:c>
      <x:c r="G30" s="42" t="str"/>
    </x:row>
    <x:row r="31">
      <x:c r="A31" s="140" t="str">
        <x:v>Commercial</x:v>
      </x:c>
      <x:c r="B31" s="42" t="str">
        <x:v>Scenario_Compare</x:v>
      </x:c>
      <x:c r="C31" s="42" t="str">
        <x:v>scenario</x:v>
      </x:c>
      <x:c r="D31" s="42" t="str">
        <x:v>Commercial comparison</x:v>
      </x:c>
      <x:c r="E31" s="42" t="str">
        <x:v>Comparison</x:v>
      </x:c>
      <x:c r="F31" s="88" t="str">
        <x:v>Scenario_Compare</x:v>
      </x:c>
      <x:c r="G31" s="42" t="str"/>
    </x:row>
    <x:row r="32">
      <x:c r="A32" s="140" t="str">
        <x:v>Commercial</x:v>
      </x:c>
      <x:c r="B32" s="42" t="str">
        <x:v>Bid_Builder</x:v>
      </x:c>
      <x:c r="C32" s="42" t="str">
        <x:v>line item</x:v>
      </x:c>
      <x:c r="D32" s="42" t="str">
        <x:v>Customer quote consolidation</x:v>
      </x:c>
      <x:c r="E32" s="42" t="str">
        <x:v>Bid</x:v>
      </x:c>
      <x:c r="F32" s="88" t="str">
        <x:v>Bid_Builder</x:v>
      </x:c>
      <x:c r="G32" s="42" t="str"/>
    </x:row>
    <x:row r="33">
      <x:c r="A33" s="140" t="str">
        <x:v>Commercial</x:v>
      </x:c>
      <x:c r="B33" s="42" t="str">
        <x:v>Customer_RateCard</x:v>
      </x:c>
      <x:c r="C33" s="42" t="str">
        <x:v>unit rate</x:v>
      </x:c>
      <x:c r="D33" s="42" t="str">
        <x:v>Customer-facing catalog</x:v>
      </x:c>
      <x:c r="E33" s="42" t="str">
        <x:v>Rate card</x:v>
      </x:c>
      <x:c r="F33" s="88" t="str">
        <x:v>Customer_RateCard</x:v>
      </x:c>
      <x:c r="G33" s="42" t="str"/>
    </x:row>
    <x:row r="34">
      <x:c r="A34" s="144" t="str">
        <x:v>Research</x:v>
      </x:c>
      <x:c r="B34" s="42" t="str">
        <x:v>Market_Benchmarks</x:v>
      </x:c>
      <x:c r="C34" s="42" t="str">
        <x:v>public metric</x:v>
      </x:c>
      <x:c r="D34" s="42" t="str">
        <x:v>Sanity check</x:v>
      </x:c>
      <x:c r="E34" s="42" t="str">
        <x:v>Reference</x:v>
      </x:c>
      <x:c r="F34" s="88" t="str">
        <x:v>Market_Benchmarks</x:v>
      </x:c>
      <x:c r="G34" s="42" t="str"/>
    </x:row>
    <x:row r="35">
      <x:c r="A35" s="144" t="str">
        <x:v>Research</x:v>
      </x:c>
      <x:c r="B35" s="42" t="str">
        <x:v>Sources</x:v>
      </x:c>
      <x:c r="C35" s="42" t="str">
        <x:v>URL</x:v>
      </x:c>
      <x:c r="D35" s="42" t="str">
        <x:v>Research traceability</x:v>
      </x:c>
      <x:c r="E35" s="42" t="str">
        <x:v>Reference</x:v>
      </x:c>
      <x:c r="F35" s="88" t="str">
        <x:v>Sources</x:v>
      </x:c>
      <x:c r="G35" s="42" t="str"/>
    </x:row>
    <x:row r="38" ht="26" customHeight="1">
      <x:c r="A38" s="34" t="str">
        <x:v>Navigation tip: use the 'Go To Sheet' name and select that worksheet tab. The workbook intentionally includes no telecom / pole-loading templates.</x:v>
      </x:c>
      <x:c r="B38" s="34"/>
      <x:c r="C38" s="34"/>
      <x:c r="D38" s="34"/>
      <x:c r="E38" s="34"/>
      <x:c r="F38" s="34"/>
      <x:c r="G38" s="34"/>
    </x:row>
  </x:sheetData>
  <x:mergeCells>
    <x:mergeCell ref="A1:G1"/>
    <x:mergeCell ref="A2:G2"/>
    <x:mergeCell ref="A38:G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4" hidden="0" customWidth="1"/>
    <x:col min="4" max="4" width="16" hidden="0" customWidth="1"/>
    <x:col min="5" max="5" width="12" hidden="0" customWidth="1"/>
    <x:col min="6" max="6" width="4" hidden="0" customWidth="1"/>
    <x:col min="7" max="7" width="18" hidden="0" customWidth="1"/>
    <x:col min="8" max="8" width="12" hidden="0" customWidth="1"/>
  </x:cols>
  <x:sheetData>
    <x:row r="1" ht="28" customHeight="1">
      <x:c r="A1" s="5" t="str">
        <x:v>Global Pricing Assumptions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Edit yellow cells. Every detailed pricing template references these assumptions.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Parameter</x:v>
      </x:c>
      <x:c r="B4" s="20" t="str">
        <x:v>Value</x:v>
      </x:c>
      <x:c r="C4" s="20" t="str"/>
      <x:c r="D4" s="20" t="str">
        <x:v>Complexity</x:v>
      </x:c>
      <x:c r="E4" s="20" t="str">
        <x:v>Multiplier</x:v>
      </x:c>
      <x:c r="F4" s="20" t="str"/>
      <x:c r="G4" s="20" t="str">
        <x:v>Volume Threshold</x:v>
      </x:c>
      <x:c r="H4" s="20" t="str">
        <x:v>Discount %</x:v>
      </x:c>
    </x:row>
    <x:row r="5">
      <x:c r="A5" t="str">
        <x:v>Base reporting currency</x:v>
      </x:c>
      <x:c r="B5" s="26" t="str">
        <x:v>USD</x:v>
      </x:c>
      <x:c r="C5" t="str"/>
      <x:c r="D5" t="str">
        <x:v>Simple</x:v>
      </x:c>
      <x:c r="E5" s="26" t="n">
        <x:v>0.85</x:v>
      </x:c>
      <x:c r="F5" t="str"/>
      <x:c r="G5" t="n">
        <x:v>0</x:v>
      </x:c>
      <x:c r="H5" s="28" t="n">
        <x:v>0</x:v>
      </x:c>
    </x:row>
    <x:row r="6">
      <x:c r="A6" t="str">
        <x:v>Target Gross Margin</x:v>
      </x:c>
      <x:c r="B6" s="28" t="n">
        <x:v>0.35</x:v>
      </x:c>
      <x:c r="C6" t="str"/>
      <x:c r="D6" t="str">
        <x:v>Standard</x:v>
      </x:c>
      <x:c r="E6" s="26" t="n">
        <x:v>1</x:v>
      </x:c>
      <x:c r="F6" t="str"/>
      <x:c r="G6" t="n">
        <x:v>500</x:v>
      </x:c>
      <x:c r="H6" s="28" t="n">
        <x:v>0.03</x:v>
      </x:c>
    </x:row>
    <x:row r="7">
      <x:c r="A7" t="str">
        <x:v>Corporate Overhead on Direct Labor</x:v>
      </x:c>
      <x:c r="B7" s="28" t="n">
        <x:v>0.18</x:v>
      </x:c>
      <x:c r="C7" t="str"/>
      <x:c r="D7" t="str">
        <x:v>Medium</x:v>
      </x:c>
      <x:c r="E7" s="26" t="n">
        <x:v>1.25</x:v>
      </x:c>
      <x:c r="F7" t="str"/>
      <x:c r="G7" t="n">
        <x:v>2000</x:v>
      </x:c>
      <x:c r="H7" s="28" t="n">
        <x:v>0.05</x:v>
      </x:c>
    </x:row>
    <x:row r="8">
      <x:c r="A8" t="str">
        <x:v>Default QA Effort %</x:v>
      </x:c>
      <x:c r="B8" s="28" t="n">
        <x:v>0.15</x:v>
      </x:c>
      <x:c r="C8" t="str"/>
      <x:c r="D8" t="str">
        <x:v>Complex</x:v>
      </x:c>
      <x:c r="E8" s="26" t="n">
        <x:v>1.6</x:v>
      </x:c>
      <x:c r="F8" t="str"/>
      <x:c r="G8" t="n">
        <x:v>5000</x:v>
      </x:c>
      <x:c r="H8" s="28" t="n">
        <x:v>0.08</x:v>
      </x:c>
    </x:row>
    <x:row r="9">
      <x:c r="A9" t="str">
        <x:v>Default Rework Buffer %</x:v>
      </x:c>
      <x:c r="B9" s="28" t="n">
        <x:v>0.05</x:v>
      </x:c>
      <x:c r="C9" t="str"/>
      <x:c r="D9" t="str"/>
      <x:c r="E9" t="str"/>
      <x:c r="F9" t="str"/>
      <x:c r="G9" t="n">
        <x:v>10000</x:v>
      </x:c>
      <x:c r="H9" s="28" t="n">
        <x:v>0.1</x:v>
      </x:c>
    </x:row>
    <x:row r="10">
      <x:c r="A10" t="str">
        <x:v>PM / Coordination %</x:v>
      </x:c>
      <x:c r="B10" s="28" t="n">
        <x:v>0.08</x:v>
      </x:c>
      <x:c r="C10" t="str"/>
      <x:c r="D10" t="str"/>
      <x:c r="E10" t="str"/>
      <x:c r="F10" t="str"/>
      <x:c r="G10" t="str"/>
      <x:c r="H10" t="str"/>
    </x:row>
    <x:row r="11">
      <x:c r="A11" t="str">
        <x:v>Contingency %</x:v>
      </x:c>
      <x:c r="B11" s="28" t="n">
        <x:v>0.05</x:v>
      </x:c>
      <x:c r="C11" t="str"/>
      <x:c r="D11" t="str"/>
      <x:c r="E11" t="str"/>
      <x:c r="F11" t="str"/>
      <x:c r="G11" t="str"/>
      <x:c r="H11" t="str"/>
    </x:row>
    <x:row r="12">
      <x:c r="A12" t="str">
        <x:v>Rush Premium %</x:v>
      </x:c>
      <x:c r="B12" s="28" t="n">
        <x:v>0.2</x:v>
      </x:c>
      <x:c r="C12" t="str"/>
      <x:c r="D12" t="str"/>
      <x:c r="E12" t="str"/>
      <x:c r="F12" t="str"/>
      <x:c r="G12" t="str"/>
      <x:c r="H12" t="str"/>
    </x:row>
    <x:row r="13">
      <x:c r="A13" t="str">
        <x:v>Annual Escalation %</x:v>
      </x:c>
      <x:c r="B13" s="28" t="n">
        <x:v>0.05</x:v>
      </x:c>
      <x:c r="C13" t="str"/>
      <x:c r="D13" t="str"/>
      <x:c r="E13" t="str"/>
      <x:c r="F13" t="str"/>
      <x:c r="G13" t="str"/>
      <x:c r="H13" t="str"/>
    </x:row>
    <x:row r="14">
      <x:c r="A14" t="str">
        <x:v>Minimum Project Fee</x:v>
      </x:c>
      <x:c r="B14" s="30" t="n">
        <x:v>1500</x:v>
      </x:c>
      <x:c r="C14" t="str"/>
      <x:c r="D14" t="str"/>
      <x:c r="E14" t="str"/>
      <x:c r="F14" t="str"/>
      <x:c r="G14" t="str"/>
      <x:c r="H14" t="str"/>
    </x:row>
    <x:row r="15">
      <x:c r="A15" t="str">
        <x:v>Standard Productive Hrs / Month</x:v>
      </x:c>
      <x:c r="B15" s="26" t="n">
        <x:v>160</x:v>
      </x:c>
      <x:c r="C15" t="str"/>
      <x:c r="D15" t="str"/>
      <x:c r="E15" t="str"/>
      <x:c r="F15" t="str"/>
      <x:c r="G15" t="str"/>
      <x:c r="H15" t="str"/>
    </x:row>
    <x:row r="16">
      <x:c r="A16" t="str">
        <x:v>Working Hrs / Day</x:v>
      </x:c>
      <x:c r="B16" s="26" t="n">
        <x:v>8</x:v>
      </x:c>
      <x:c r="C16" t="str"/>
      <x:c r="D16" t="str"/>
      <x:c r="E16" t="str"/>
      <x:c r="F16" t="str"/>
      <x:c r="G16" t="str"/>
      <x:c r="H16" t="str"/>
    </x:row>
    <x:row r="18">
      <x:c r="A18" s="34" t="str">
        <x:v>Volume discounts are commercial levers, not automatic recommendations. Validate throughput, quality, SLA, minimum commitment, country complexity and customer risk before quoting.</x:v>
      </x:c>
      <x:c r="B18" s="34"/>
      <x:c r="C18" s="34"/>
      <x:c r="D18" s="34"/>
      <x:c r="E18" s="34"/>
      <x:c r="F18" s="34"/>
      <x:c r="G18" s="34"/>
      <x:c r="H18" s="34"/>
    </x:row>
  </x:sheetData>
  <x:mergeCells>
    <x:mergeCell ref="A1:H1"/>
    <x:mergeCell ref="A2:H2"/>
    <x:mergeCell ref="A18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7" hidden="0" customWidth="1"/>
    <x:col min="8" max="8" width="36" hidden="0" customWidth="1"/>
  </x:cols>
  <x:sheetData>
    <x:row r="1" ht="28" customHeight="1">
      <x:c r="A1" s="5" t="str">
        <x:v>Role Cost &amp; Billing Rate Builder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Illustrative costs only — replace with current JSAN approved direct costs before using commercially.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Role</x:v>
      </x:c>
      <x:c r="B4" s="20" t="str">
        <x:v>Delivery Location</x:v>
      </x:c>
      <x:c r="C4" s="20" t="str">
        <x:v>Monthly Direct Cost</x:v>
      </x:c>
      <x:c r="D4" s="20" t="str">
        <x:v>Productive Hrs/Mo</x:v>
      </x:c>
      <x:c r="E4" s="20" t="str">
        <x:v>Direct Cost/Hr</x:v>
      </x:c>
      <x:c r="F4" s="20" t="str">
        <x:v>Loaded Cost/Hr</x:v>
      </x:c>
      <x:c r="G4" s="20" t="str">
        <x:v>Suggested Sell/Hr</x:v>
      </x:c>
      <x:c r="H4" s="20" t="str">
        <x:v>Notes</x:v>
      </x:c>
    </x:row>
    <x:row r="5">
      <x:c r="A5" t="str">
        <x:v>Data Operator</x:v>
      </x:c>
      <x:c r="B5" t="str">
        <x:v>India</x:v>
      </x:c>
      <x:c r="C5" s="38" t="n">
        <x:v>750</x:v>
      </x:c>
      <x:c r="D5" s="26" t="n">
        <x:v>165</x:v>
      </x:c>
      <x:c r="E5" s="40" t="n">
        <x:f>C5/D5</x:f>
        <x:v>4.545454545454546</x:v>
      </x:c>
      <x:c r="F5" s="40" t="n">
        <x:f>E5*(1+Assumptions!$B$7)</x:f>
        <x:v>5.363636363636364</x:v>
      </x:c>
      <x:c r="G5" s="40" t="n">
        <x:f>F5/(1-Assumptions!$B$6)</x:f>
        <x:v>8.251748251748252</x:v>
      </x:c>
      <x:c r="H5" t="str">
        <x:v>Bulk data operations / indexing</x:v>
      </x:c>
    </x:row>
    <x:row r="6">
      <x:c r="A6" t="str">
        <x:v>GIS Analyst</x:v>
      </x:c>
      <x:c r="B6" t="str">
        <x:v>India</x:v>
      </x:c>
      <x:c r="C6" s="38" t="n">
        <x:v>900</x:v>
      </x:c>
      <x:c r="D6" s="26" t="n">
        <x:v>160</x:v>
      </x:c>
      <x:c r="E6" s="40" t="n">
        <x:f>C6/D6</x:f>
        <x:v>5.625</x:v>
      </x:c>
      <x:c r="F6" s="40" t="n">
        <x:f>E6*(1+Assumptions!$B$7)</x:f>
        <x:v>6.637499999999999</x:v>
      </x:c>
      <x:c r="G6" s="40" t="n">
        <x:f>F6/(1-Assumptions!$B$6)</x:f>
        <x:v>10.21153846153846</x:v>
      </x:c>
      <x:c r="H6" t="str">
        <x:v>Digitization / GIS editing / validation</x:v>
      </x:c>
    </x:row>
    <x:row r="7">
      <x:c r="A7" t="str">
        <x:v>Senior GIS Analyst</x:v>
      </x:c>
      <x:c r="B7" t="str">
        <x:v>India</x:v>
      </x:c>
      <x:c r="C7" s="38" t="n">
        <x:v>1300</x:v>
      </x:c>
      <x:c r="D7" s="26" t="n">
        <x:v>160</x:v>
      </x:c>
      <x:c r="E7" s="40" t="n">
        <x:f>C7/D7</x:f>
        <x:v>8.125</x:v>
      </x:c>
      <x:c r="F7" s="40" t="n">
        <x:f>E7*(1+Assumptions!$B$7)</x:f>
        <x:v>9.5875</x:v>
      </x:c>
      <x:c r="G7" s="40" t="n">
        <x:f>F7/(1-Assumptions!$B$6)</x:f>
        <x:v>14.75</x:v>
      </x:c>
      <x:c r="H7" t="str">
        <x:v>Complex GIS / conflation / network QA</x:v>
      </x:c>
    </x:row>
    <x:row r="8">
      <x:c r="A8" t="str">
        <x:v>QA Analyst</x:v>
      </x:c>
      <x:c r="B8" t="str">
        <x:v>India</x:v>
      </x:c>
      <x:c r="C8" s="38" t="n">
        <x:v>1000</x:v>
      </x:c>
      <x:c r="D8" s="26" t="n">
        <x:v>160</x:v>
      </x:c>
      <x:c r="E8" s="40" t="n">
        <x:f>C8/D8</x:f>
        <x:v>6.25</x:v>
      </x:c>
      <x:c r="F8" s="40" t="n">
        <x:f>E8*(1+Assumptions!$B$7)</x:f>
        <x:v>7.375</x:v>
      </x:c>
      <x:c r="G8" s="40" t="n">
        <x:f>F8/(1-Assumptions!$B$6)</x:f>
        <x:v>11.346153846153845</x:v>
      </x:c>
      <x:c r="H8" t="str">
        <x:v>Sampling / 100% QC / audit</x:v>
      </x:c>
    </x:row>
    <x:row r="9">
      <x:c r="A9" t="str">
        <x:v>Navigation Editor</x:v>
      </x:c>
      <x:c r="B9" t="str">
        <x:v>India</x:v>
      </x:c>
      <x:c r="C9" s="38" t="n">
        <x:v>1050</x:v>
      </x:c>
      <x:c r="D9" s="26" t="n">
        <x:v>160</x:v>
      </x:c>
      <x:c r="E9" s="40" t="n">
        <x:f>C9/D9</x:f>
        <x:v>6.5625</x:v>
      </x:c>
      <x:c r="F9" s="40" t="n">
        <x:f>E9*(1+Assumptions!$B$7)</x:f>
        <x:v>7.7437499999999995</x:v>
      </x:c>
      <x:c r="G9" s="40" t="n">
        <x:f>F9/(1-Assumptions!$B$6)</x:f>
        <x:v>11.913461538461537</x:v>
      </x:c>
      <x:c r="H9" t="str">
        <x:v>Road network / navigation attributes</x:v>
      </x:c>
    </x:row>
    <x:row r="10">
      <x:c r="A10" t="str">
        <x:v>POI/Address Analyst</x:v>
      </x:c>
      <x:c r="B10" t="str">
        <x:v>India</x:v>
      </x:c>
      <x:c r="C10" s="38" t="n">
        <x:v>950</x:v>
      </x:c>
      <x:c r="D10" s="26" t="n">
        <x:v>160</x:v>
      </x:c>
      <x:c r="E10" s="40" t="n">
        <x:f>C10/D10</x:f>
        <x:v>5.9375</x:v>
      </x:c>
      <x:c r="F10" s="40" t="n">
        <x:f>E10*(1+Assumptions!$B$7)</x:f>
        <x:v>7.00625</x:v>
      </x:c>
      <x:c r="G10" s="40" t="n">
        <x:f>F10/(1-Assumptions!$B$6)</x:f>
        <x:v>10.778846153846153</x:v>
      </x:c>
      <x:c r="H10" t="str">
        <x:v>POI / address / geocoding validation</x:v>
      </x:c>
    </x:row>
    <x:row r="11">
      <x:c r="A11" t="str">
        <x:v>LiDAR Analyst</x:v>
      </x:c>
      <x:c r="B11" t="str">
        <x:v>India</x:v>
      </x:c>
      <x:c r="C11" s="38" t="n">
        <x:v>1200</x:v>
      </x:c>
      <x:c r="D11" s="26" t="n">
        <x:v>160</x:v>
      </x:c>
      <x:c r="E11" s="40" t="n">
        <x:f>C11/D11</x:f>
        <x:v>7.5</x:v>
      </x:c>
      <x:c r="F11" s="40" t="n">
        <x:f>E11*(1+Assumptions!$B$7)</x:f>
        <x:v>8.85</x:v>
      </x:c>
      <x:c r="G11" s="40" t="n">
        <x:f>F11/(1-Assumptions!$B$6)</x:f>
        <x:v>13.615384615384615</x:v>
      </x:c>
      <x:c r="H11" t="str">
        <x:v>Point cloud processing / extraction</x:v>
      </x:c>
    </x:row>
    <x:row r="12">
      <x:c r="A12" t="str">
        <x:v>Photogrammetry Analyst</x:v>
      </x:c>
      <x:c r="B12" t="str">
        <x:v>India</x:v>
      </x:c>
      <x:c r="C12" s="38" t="n">
        <x:v>1250</x:v>
      </x:c>
      <x:c r="D12" s="26" t="n">
        <x:v>160</x:v>
      </x:c>
      <x:c r="E12" s="40" t="n">
        <x:f>C12/D12</x:f>
        <x:v>7.8125</x:v>
      </x:c>
      <x:c r="F12" s="40" t="n">
        <x:f>E12*(1+Assumptions!$B$7)</x:f>
        <x:v>9.21875</x:v>
      </x:c>
      <x:c r="G12" s="40" t="n">
        <x:f>F12/(1-Assumptions!$B$6)</x:f>
        <x:v>14.182692307692307</x:v>
      </x:c>
      <x:c r="H12" t="str">
        <x:v>Orthomosaic / DSM / DTM / 3D</x:v>
      </x:c>
    </x:row>
    <x:row r="13">
      <x:c r="A13" t="str">
        <x:v>Remote Sensing Analyst</x:v>
      </x:c>
      <x:c r="B13" t="str">
        <x:v>India</x:v>
      </x:c>
      <x:c r="C13" s="38" t="n">
        <x:v>1300</x:v>
      </x:c>
      <x:c r="D13" s="26" t="n">
        <x:v>160</x:v>
      </x:c>
      <x:c r="E13" s="40" t="n">
        <x:f>C13/D13</x:f>
        <x:v>8.125</x:v>
      </x:c>
      <x:c r="F13" s="40" t="n">
        <x:f>E13*(1+Assumptions!$B$7)</x:f>
        <x:v>9.5875</x:v>
      </x:c>
      <x:c r="G13" s="40" t="n">
        <x:f>F13/(1-Assumptions!$B$6)</x:f>
        <x:v>14.75</x:v>
      </x:c>
      <x:c r="H13" t="str">
        <x:v>Satellite / classification / change detection</x:v>
      </x:c>
    </x:row>
    <x:row r="14">
      <x:c r="A14" t="str">
        <x:v>GIS Developer</x:v>
      </x:c>
      <x:c r="B14" t="str">
        <x:v>India</x:v>
      </x:c>
      <x:c r="C14" s="38" t="n">
        <x:v>2200</x:v>
      </x:c>
      <x:c r="D14" s="26" t="n">
        <x:v>150</x:v>
      </x:c>
      <x:c r="E14" s="40" t="n">
        <x:f>C14/D14</x:f>
        <x:v>14.666666666666666</x:v>
      </x:c>
      <x:c r="F14" s="40" t="n">
        <x:f>E14*(1+Assumptions!$B$7)</x:f>
        <x:v>17.306666666666665</x:v>
      </x:c>
      <x:c r="G14" s="40" t="n">
        <x:f>F14/(1-Assumptions!$B$6)</x:f>
        <x:v>26.625641025641023</x:v>
      </x:c>
      <x:c r="H14" t="str">
        <x:v>Automation / GIS tools / web GIS</x:v>
      </x:c>
    </x:row>
    <x:row r="15">
      <x:c r="A15" t="str">
        <x:v>Data Engineer</x:v>
      </x:c>
      <x:c r="B15" t="str">
        <x:v>India</x:v>
      </x:c>
      <x:c r="C15" s="38" t="n">
        <x:v>2200</x:v>
      </x:c>
      <x:c r="D15" s="26" t="n">
        <x:v>150</x:v>
      </x:c>
      <x:c r="E15" s="40" t="n">
        <x:f>C15/D15</x:f>
        <x:v>14.666666666666666</x:v>
      </x:c>
      <x:c r="F15" s="40" t="n">
        <x:f>E15*(1+Assumptions!$B$7)</x:f>
        <x:v>17.306666666666665</x:v>
      </x:c>
      <x:c r="G15" s="40" t="n">
        <x:f>F15/(1-Assumptions!$B$6)</x:f>
        <x:v>26.625641025641023</x:v>
      </x:c>
      <x:c r="H15" t="str">
        <x:v>ETL / ingestion / data pipelines</x:v>
      </x:c>
    </x:row>
    <x:row r="16">
      <x:c r="A16" t="str">
        <x:v>Cloud/DevOps Engineer</x:v>
      </x:c>
      <x:c r="B16" t="str">
        <x:v>India</x:v>
      </x:c>
      <x:c r="C16" s="38" t="n">
        <x:v>2500</x:v>
      </x:c>
      <x:c r="D16" s="26" t="n">
        <x:v>150</x:v>
      </x:c>
      <x:c r="E16" s="40" t="n">
        <x:f>C16/D16</x:f>
        <x:v>16.666666666666668</x:v>
      </x:c>
      <x:c r="F16" s="40" t="n">
        <x:f>E16*(1+Assumptions!$B$7)</x:f>
        <x:v>19.666666666666668</x:v>
      </x:c>
      <x:c r="G16" s="40" t="n">
        <x:f>F16/(1-Assumptions!$B$6)</x:f>
        <x:v>30.256410256410255</x:v>
      </x:c>
      <x:c r="H16" t="str">
        <x:v>Cloud / hosting / monitoring</x:v>
      </x:c>
    </x:row>
    <x:row r="17">
      <x:c r="A17" t="str">
        <x:v>Project Manager</x:v>
      </x:c>
      <x:c r="B17" t="str">
        <x:v>India</x:v>
      </x:c>
      <x:c r="C17" s="38" t="n">
        <x:v>2500</x:v>
      </x:c>
      <x:c r="D17" s="26" t="n">
        <x:v>150</x:v>
      </x:c>
      <x:c r="E17" s="40" t="n">
        <x:f>C17/D17</x:f>
        <x:v>16.666666666666668</x:v>
      </x:c>
      <x:c r="F17" s="40" t="n">
        <x:f>E17*(1+Assumptions!$B$7)</x:f>
        <x:v>19.666666666666668</x:v>
      </x:c>
      <x:c r="G17" s="40" t="n">
        <x:f>F17/(1-Assumptions!$B$6)</x:f>
        <x:v>30.256410256410255</x:v>
      </x:c>
      <x:c r="H17" t="str">
        <x:v>Governance / customer management</x:v>
      </x:c>
    </x:row>
    <x:row r="18">
      <x:c r="A18" t="str">
        <x:v>Field Crew Lead</x:v>
      </x:c>
      <x:c r="B18" t="str">
        <x:v>Field</x:v>
      </x:c>
      <x:c r="C18" s="38" t="n">
        <x:v>4200</x:v>
      </x:c>
      <x:c r="D18" s="26" t="n">
        <x:v>160</x:v>
      </x:c>
      <x:c r="E18" s="40" t="n">
        <x:f>C18/D18</x:f>
        <x:v>26.25</x:v>
      </x:c>
      <x:c r="F18" s="40" t="n">
        <x:f>E18*(1+Assumptions!$B$7)</x:f>
        <x:v>30.974999999999998</x:v>
      </x:c>
      <x:c r="G18" s="40" t="n">
        <x:f>F18/(1-Assumptions!$B$6)</x:f>
        <x:v>47.653846153846146</x:v>
      </x:c>
      <x:c r="H18" t="str">
        <x:v>Field capture leadership</x:v>
      </x:c>
    </x:row>
    <x:row r="19">
      <x:c r="A19" t="str">
        <x:v>Field Technician</x:v>
      </x:c>
      <x:c r="B19" t="str">
        <x:v>Field</x:v>
      </x:c>
      <x:c r="C19" s="38" t="n">
        <x:v>2800</x:v>
      </x:c>
      <x:c r="D19" s="26" t="n">
        <x:v>160</x:v>
      </x:c>
      <x:c r="E19" s="40" t="n">
        <x:f>C19/D19</x:f>
        <x:v>17.5</x:v>
      </x:c>
      <x:c r="F19" s="40" t="n">
        <x:f>E19*(1+Assumptions!$B$7)</x:f>
        <x:v>20.65</x:v>
      </x:c>
      <x:c r="G19" s="40" t="n">
        <x:f>F19/(1-Assumptions!$B$6)</x:f>
        <x:v>31.769230769230766</x:v>
      </x:c>
      <x:c r="H19" t="str">
        <x:v>Field collection / validation</x:v>
      </x:c>
    </x:row>
    <x:row r="20">
      <x:c r="A20" t="str">
        <x:v>Drone Pilot</x:v>
      </x:c>
      <x:c r="B20" t="str">
        <x:v>Field</x:v>
      </x:c>
      <x:c r="C20" s="38" t="n">
        <x:v>3500</x:v>
      </x:c>
      <x:c r="D20" s="26" t="n">
        <x:v>150</x:v>
      </x:c>
      <x:c r="E20" s="40" t="n">
        <x:f>C20/D20</x:f>
        <x:v>23.333333333333332</x:v>
      </x:c>
      <x:c r="F20" s="40" t="n">
        <x:f>E20*(1+Assumptions!$B$7)</x:f>
        <x:v>27.53333333333333</x:v>
      </x:c>
      <x:c r="G20" s="40" t="n">
        <x:f>F20/(1-Assumptions!$B$6)</x:f>
        <x:v>42.35897435897436</x:v>
      </x:c>
      <x:c r="H20" t="str">
        <x:v>UAV operations</x:v>
      </x:c>
    </x:row>
    <x:row r="21">
      <x:c r="A21" t="str">
        <x:v>Survey/GCP Technician</x:v>
      </x:c>
      <x:c r="B21" t="str">
        <x:v>Field</x:v>
      </x:c>
      <x:c r="C21" s="38" t="n">
        <x:v>3000</x:v>
      </x:c>
      <x:c r="D21" s="26" t="n">
        <x:v>160</x:v>
      </x:c>
      <x:c r="E21" s="40" t="n">
        <x:f>C21/D21</x:f>
        <x:v>18.75</x:v>
      </x:c>
      <x:c r="F21" s="40" t="n">
        <x:f>E21*(1+Assumptions!$B$7)</x:f>
        <x:v>22.125</x:v>
      </x:c>
      <x:c r="G21" s="40" t="n">
        <x:f>F21/(1-Assumptions!$B$6)</x:f>
        <x:v>34.03846153846154</x:v>
      </x:c>
      <x:c r="H21" t="str">
        <x:v>GCP / control / accuracy checks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2" hidden="0" customWidth="1"/>
    <x:col min="4" max="4" width="31" hidden="0" customWidth="1"/>
    <x:col min="5" max="5" width="36" hidden="0" customWidth="1"/>
    <x:col min="6" max="6" width="34" hidden="0" customWidth="1"/>
  </x:cols>
  <x:sheetData>
    <x:row r="1" ht="28" customHeight="1">
      <x:c r="A1" s="5" t="str">
        <x:v>Pricing Model Selection Guide</x:v>
      </x:c>
      <x:c r="B1" s="5"/>
      <x:c r="C1" s="5"/>
      <x:c r="D1" s="5"/>
      <x:c r="E1" s="5"/>
      <x:c r="F1" s="5"/>
    </x:row>
    <x:row r="2" ht="30" customHeight="1">
      <x:c r="A2" s="12" t="str">
        <x:v>Use the commercial metric that best matches measurable output and delivery risk.</x:v>
      </x:c>
      <x:c r="B2" s="12"/>
      <x:c r="C2" s="12"/>
      <x:c r="D2" s="12"/>
      <x:c r="E2" s="12"/>
      <x:c r="F2" s="12"/>
    </x:row>
    <x:row r="4">
      <x:c r="A4" s="20" t="str">
        <x:v>Project Type</x:v>
      </x:c>
      <x:c r="B4" s="20" t="str">
        <x:v>Preferred Metric</x:v>
      </x:c>
      <x:c r="C4" s="20" t="str">
        <x:v>Alternative Metric</x:v>
      </x:c>
      <x:c r="D4" s="20" t="str">
        <x:v>When to Use</x:v>
      </x:c>
      <x:c r="E4" s="20" t="str">
        <x:v>Key Pricing Drivers</x:v>
      </x:c>
      <x:c r="F4" s="20" t="str">
        <x:v>Avoid</x:v>
      </x:c>
    </x:row>
    <x:row r="5">
      <x:c r="A5" s="42" t="str">
        <x:v>Desk GIS operations</x:v>
      </x:c>
      <x:c r="B5" s="42" t="str">
        <x:v>Hourly / FTE</x:v>
      </x:c>
      <x:c r="C5" s="42" t="str">
        <x:v>Per record / feature</x:v>
      </x:c>
      <x:c r="D5" s="42" t="str">
        <x:v>Uncertain scope or managed operations</x:v>
      </x:c>
      <x:c r="E5" s="42" t="str">
        <x:v>Skill mix, utilization, SLA, QA</x:v>
      </x:c>
      <x:c r="F5" s="42" t="str">
        <x:v>Per-unit without stable productivity</x:v>
      </x:c>
    </x:row>
    <x:row r="6">
      <x:c r="A6" s="42" t="str">
        <x:v>Navigation road editing</x:v>
      </x:c>
      <x:c r="B6" s="42" t="str">
        <x:v>Per road-km / link</x:v>
      </x:c>
      <x:c r="C6" s="42" t="str">
        <x:v>Hourly / change event</x:v>
      </x:c>
      <x:c r="D6" s="42" t="str">
        <x:v>Repeatable network maintenance</x:v>
      </x:c>
      <x:c r="E6" s="42" t="str">
        <x:v>Road density, attribute count, country complexity</x:v>
      </x:c>
      <x:c r="F6" s="42" t="str">
        <x:v>Flat per-km where urban density varies heavily</x:v>
      </x:c>
    </x:row>
    <x:row r="7">
      <x:c r="A7" s="42" t="str">
        <x:v>Navigation attributes</x:v>
      </x:c>
      <x:c r="B7" s="42" t="str">
        <x:v>Per attribute / feature</x:v>
      </x:c>
      <x:c r="C7" s="42" t="str">
        <x:v>Per km</x:v>
      </x:c>
      <x:c r="D7" s="42" t="str">
        <x:v>Speed, turn, sign, lane, toll updates</x:v>
      </x:c>
      <x:c r="E7" s="42" t="str">
        <x:v>Attribute complexity, evidence, QA</x:v>
      </x:c>
      <x:c r="F7" s="42" t="str">
        <x:v>Single rate for all feature types</x:v>
      </x:c>
    </x:row>
    <x:row r="8">
      <x:c r="A8" s="42" t="str">
        <x:v>POI / Point Address</x:v>
      </x:c>
      <x:c r="B8" s="42" t="str">
        <x:v>Per verified record</x:v>
      </x:c>
      <x:c r="C8" s="42" t="str">
        <x:v>Per 1,000 records / market refresh</x:v>
      </x:c>
      <x:c r="D8" s="42" t="str">
        <x:v>High-volume structured datasets</x:v>
      </x:c>
      <x:c r="E8" s="42" t="str">
        <x:v>Research depth, verification method, freshness SLA</x:v>
      </x:c>
      <x:c r="F8" s="42" t="str">
        <x:v>Per-record without duplicate/exclusion rules</x:v>
      </x:c>
    </x:row>
    <x:row r="9">
      <x:c r="A9" s="42" t="str">
        <x:v>Street-level imagery</x:v>
      </x:c>
      <x:c r="B9" s="42" t="str">
        <x:v>Per km</x:v>
      </x:c>
      <x:c r="C9" s="42" t="str">
        <x:v>Per capture-day / panorama</x:v>
      </x:c>
      <x:c r="D9" s="42" t="str">
        <x:v>Road imagery capture &amp; processing</x:v>
      </x:c>
      <x:c r="E9" s="42" t="str">
        <x:v>Road class, access, weather, privacy blur, upload volume</x:v>
      </x:c>
      <x:c r="F9" s="42" t="str">
        <x:v>Per-day without route productivity baseline</x:v>
      </x:c>
    </x:row>
    <x:row r="10">
      <x:c r="A10" s="42" t="str">
        <x:v>LiDAR processing</x:v>
      </x:c>
      <x:c r="B10" s="42" t="str">
        <x:v>Per sq km / million points</x:v>
      </x:c>
      <x:c r="C10" s="42" t="str">
        <x:v>Per tile / hour</x:v>
      </x:c>
      <x:c r="D10" s="42" t="str">
        <x:v>Point cloud classification &amp; processing</x:v>
      </x:c>
      <x:c r="E10" s="42" t="str">
        <x:v>Point density, class schema, vegetation, QA</x:v>
      </x:c>
      <x:c r="F10" s="42" t="str">
        <x:v>Per GB only when density varies</x:v>
      </x:c>
    </x:row>
    <x:row r="11">
      <x:c r="A11" s="42" t="str">
        <x:v>Feature extraction</x:v>
      </x:c>
      <x:c r="B11" s="42" t="str">
        <x:v>Per feature</x:v>
      </x:c>
      <x:c r="C11" s="42" t="str">
        <x:v>Per km / sq km</x:v>
      </x:c>
      <x:c r="D11" s="42" t="str">
        <x:v>Asset extraction from imagery/LiDAR</x:v>
      </x:c>
      <x:c r="E11" s="42" t="str">
        <x:v>Feature complexity, visibility, evidence rules</x:v>
      </x:c>
      <x:c r="F11" s="42" t="str">
        <x:v>Same unit price for point/line/polygon</x:v>
      </x:c>
    </x:row>
    <x:row r="12">
      <x:c r="A12" s="42" t="str">
        <x:v>Photogrammetry / Ortho</x:v>
      </x:c>
      <x:c r="B12" s="42" t="str">
        <x:v>Per sq km / acre</x:v>
      </x:c>
      <x:c r="C12" s="42" t="str">
        <x:v>Per site / project</x:v>
      </x:c>
      <x:c r="D12" s="42" t="str">
        <x:v>Aerial mapping &amp; surfaces</x:v>
      </x:c>
      <x:c r="E12" s="42" t="str">
        <x:v>GSD, overlap, GCP, terrain, deliverables</x:v>
      </x:c>
      <x:c r="F12" s="42" t="str">
        <x:v>Price flight only without processing outputs</x:v>
      </x:c>
    </x:row>
    <x:row r="13">
      <x:c r="A13" s="42" t="str">
        <x:v>Drone survey</x:v>
      </x:c>
      <x:c r="B13" s="42" t="str">
        <x:v>Per acre / km</x:v>
      </x:c>
      <x:c r="C13" s="42" t="str">
        <x:v>Per day / site</x:v>
      </x:c>
      <x:c r="D13" s="42" t="str">
        <x:v>Field acquisition with fixed deliverables</x:v>
      </x:c>
      <x:c r="E13" s="42" t="str">
        <x:v>Mobilization, airspace, terrain, GCP, reflight risk</x:v>
      </x:c>
      <x:c r="F13" s="42" t="str">
        <x:v>Per-acre for tiny sites without minimum fee</x:v>
      </x:c>
    </x:row>
    <x:row r="14">
      <x:c r="A14" s="42" t="str">
        <x:v>Remote sensing</x:v>
      </x:c>
      <x:c r="B14" s="42" t="str">
        <x:v>Per sq km / scene</x:v>
      </x:c>
      <x:c r="C14" s="42" t="str">
        <x:v>Per feature</x:v>
      </x:c>
      <x:c r="D14" s="42" t="str">
        <x:v>Classification / indices / change detection</x:v>
      </x:c>
      <x:c r="E14" s="42" t="str">
        <x:v>Sensor cost, cloud cover, classes, accuracy</x:v>
      </x:c>
      <x:c r="F14" s="42" t="str">
        <x:v>Ignoring imagery license cost</x:v>
      </x:c>
    </x:row>
    <x:row r="15">
      <x:c r="A15" s="42" t="str">
        <x:v>Cadastral</x:v>
      </x:c>
      <x:c r="B15" s="42" t="str">
        <x:v>Per parcel</x:v>
      </x:c>
      <x:c r="C15" s="42" t="str">
        <x:v>Per sheet / sq km</x:v>
      </x:c>
      <x:c r="D15" s="42" t="str">
        <x:v>Parcel digitization &amp; topology</x:v>
      </x:c>
      <x:c r="E15" s="42" t="str">
        <x:v>Boundary complexity, source quality, topology rules</x:v>
      </x:c>
      <x:c r="F15" s="42" t="str">
        <x:v>Per sq km where parcel density varies</x:v>
      </x:c>
    </x:row>
    <x:row r="16">
      <x:c r="A16" s="42" t="str">
        <x:v>Field verification</x:v>
      </x:c>
      <x:c r="B16" s="42" t="str">
        <x:v>Per km / feature</x:v>
      </x:c>
      <x:c r="C16" s="42" t="str">
        <x:v>Per day</x:v>
      </x:c>
      <x:c r="D16" s="42" t="str">
        <x:v>Road/trail/POI physical verification</x:v>
      </x:c>
      <x:c r="E16" s="42" t="str">
        <x:v>Travel, access, capture evidence, revisit risk</x:v>
      </x:c>
      <x:c r="F16" s="42" t="str">
        <x:v>Per feature without route density consideration</x:v>
      </x:c>
    </x:row>
    <x:row r="17">
      <x:c r="A17" s="42" t="str">
        <x:v>Cloud GIS delivery</x:v>
      </x:c>
      <x:c r="B17" s="42" t="str">
        <x:v>TB-month / user-month</x:v>
      </x:c>
      <x:c r="C17" s="42" t="str">
        <x:v>Monthly managed fee</x:v>
      </x:c>
      <x:c r="D17" s="42" t="str">
        <x:v>Viewer/hosting/storage</x:v>
      </x:c>
      <x:c r="E17" s="42" t="str">
        <x:v>Storage, egress, users, compute, backup</x:v>
      </x:c>
      <x:c r="F17" s="42" t="str">
        <x:v>Bundling cloud pass-through without usage cap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Desk GIS Operations — Hourly / T&amp;M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Use for ad-hoc analysis, uncertain scope, pilot work, exceptions, research and change requests.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GIS data editing</x:v>
      </x:c>
      <x:c r="B5" s="42" t="str">
        <x:v>hour</x:v>
      </x:c>
      <x:c r="C5" s="62" t="n">
        <x:v>40</x:v>
      </x:c>
      <x:c r="D5" s="62" t="n">
        <x:v>1</x:v>
      </x:c>
      <x:c r="E5" s="63" t="str">
        <x:v>GIS Analyst</x:v>
      </x:c>
      <x:c r="F5" s="64" t="n">
        <x:f>IFERROR(VLOOKUP(E5,Role_Rates!$A$5:$H$25,6,FALSE),0)</x:f>
        <x:v>6.637499999999999</x:v>
      </x:c>
      <x:c r="G5" s="64" t="n">
        <x:f>IFERROR(F5/D5,0)</x:f>
        <x:v>6.637499999999999</x:v>
      </x:c>
      <x:c r="H5" s="65" t="n">
        <x:v>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8.827874999999999</x:v>
      </x:c>
      <x:c r="P5" s="66" t="n">
        <x:f>Assumptions!$B$6</x:f>
        <x:v>0.35</x:v>
      </x:c>
      <x:c r="Q5" s="64" t="n">
        <x:f>IFERROR(O5/(1-P5),0)</x:f>
        <x:v>13.581346153846152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13.581346153846152</x:v>
      </x:c>
      <x:c r="U5" s="64" t="n">
        <x:f>C5*T5</x:f>
        <x:v>543.2538461538461</x:v>
      </x:c>
    </x:row>
    <x:row r="6">
      <x:c r="A6" s="42" t="str">
        <x:v>Complex conflation / topology</x:v>
      </x:c>
      <x:c r="B6" s="42" t="str">
        <x:v>hour</x:v>
      </x:c>
      <x:c r="C6" s="62" t="n">
        <x:v>20</x:v>
      </x:c>
      <x:c r="D6" s="62" t="n">
        <x:v>1</x:v>
      </x:c>
      <x:c r="E6" s="63" t="str">
        <x:v>Senior GIS Analyst</x:v>
      </x:c>
      <x:c r="F6" s="64" t="n">
        <x:f>IFERROR(VLOOKUP(E6,Role_Rates!$A$5:$H$25,6,FALSE),0)</x:f>
        <x:v>9.5875</x:v>
      </x:c>
      <x:c r="G6" s="64" t="n">
        <x:f>IFERROR(F6/D6,0)</x:f>
        <x:v>9.5875</x:v>
      </x:c>
      <x:c r="H6" s="65" t="n">
        <x:v>0</x:v>
      </x:c>
      <x:c r="I6" s="63" t="str">
        <x:v>Medium</x:v>
      </x:c>
      <x:c r="J6" s="42" t="n">
        <x:f>IFERROR(VLOOKUP(I6,Assumptions!$D$5:$E$8,2,FALSE),1)</x:f>
        <x:v>1.25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15.93921875</x:v>
      </x:c>
      <x:c r="P6" s="66" t="n">
        <x:f>Assumptions!$B$6</x:f>
        <x:v>0.35</x:v>
      </x:c>
      <x:c r="Q6" s="64" t="n">
        <x:f>IFERROR(O6/(1-P6),0)</x:f>
        <x:v>24.521874999999998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24.521874999999998</x:v>
      </x:c>
      <x:c r="U6" s="64" t="n">
        <x:f>C6*T6</x:f>
        <x:v>490.43749999999994</x:v>
      </x:c>
    </x:row>
    <x:row r="7">
      <x:c r="A7" s="42" t="str">
        <x:v>Data validation / verification</x:v>
      </x:c>
      <x:c r="B7" s="42" t="str">
        <x:v>hour</x:v>
      </x:c>
      <x:c r="C7" s="62" t="n">
        <x:v>40</x:v>
      </x:c>
      <x:c r="D7" s="62" t="n">
        <x:v>1</x:v>
      </x:c>
      <x:c r="E7" s="63" t="str">
        <x:v>Data Operator</x:v>
      </x:c>
      <x:c r="F7" s="64" t="n">
        <x:f>IFERROR(VLOOKUP(E7,Role_Rates!$A$5:$H$25,6,FALSE),0)</x:f>
        <x:v>5.363636363636364</x:v>
      </x:c>
      <x:c r="G7" s="64" t="n">
        <x:f>IFERROR(F7/D7,0)</x:f>
        <x:v>5.363636363636364</x:v>
      </x:c>
      <x:c r="H7" s="65" t="n">
        <x:v>0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7.133636363636365</x:v>
      </x:c>
      <x:c r="P7" s="66" t="n">
        <x:f>Assumptions!$B$6</x:f>
        <x:v>0.35</x:v>
      </x:c>
      <x:c r="Q7" s="64" t="n">
        <x:f>IFERROR(O7/(1-P7),0)</x:f>
        <x:v>10.974825174825176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10.974825174825176</x:v>
      </x:c>
      <x:c r="U7" s="64" t="n">
        <x:f>C7*T7</x:f>
        <x:v>438.99300699300704</x:v>
      </x:c>
    </x:row>
    <x:row r="8">
      <x:c r="A8" s="42" t="str">
        <x:v>QA review</x:v>
      </x:c>
      <x:c r="B8" s="42" t="str">
        <x:v>hour</x:v>
      </x:c>
      <x:c r="C8" s="62" t="n">
        <x:v>12</x:v>
      </x:c>
      <x:c r="D8" s="62" t="n">
        <x:v>1</x:v>
      </x:c>
      <x:c r="E8" s="63" t="str">
        <x:v>QA Analyst</x:v>
      </x:c>
      <x:c r="F8" s="64" t="n">
        <x:f>IFERROR(VLOOKUP(E8,Role_Rates!$A$5:$H$25,6,FALSE),0)</x:f>
        <x:v>7.375</x:v>
      </x:c>
      <x:c r="G8" s="64" t="n">
        <x:f>IFERROR(F8/D8,0)</x:f>
        <x:v>7.375</x:v>
      </x:c>
      <x:c r="H8" s="65" t="n">
        <x:v>0</x:v>
      </x:c>
      <x:c r="I8" s="63" t="str">
        <x:v>Standard</x:v>
      </x:c>
      <x:c r="J8" s="42" t="n">
        <x:f>IFERROR(VLOOKUP(I8,Assumptions!$D$5:$E$8,2,FALSE),1)</x:f>
        <x:v>1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9.80875</x:v>
      </x:c>
      <x:c r="P8" s="66" t="n">
        <x:f>Assumptions!$B$6</x:f>
        <x:v>0.35</x:v>
      </x:c>
      <x:c r="Q8" s="64" t="n">
        <x:f>IFERROR(O8/(1-P8),0)</x:f>
        <x:v>15.090384615384615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15.090384615384615</x:v>
      </x:c>
      <x:c r="U8" s="64" t="n">
        <x:f>C8*T8</x:f>
        <x:v>181.08461538461538</x:v>
      </x:c>
    </x:row>
    <x:row r="9">
      <x:c r="A9" s="42" t="str">
        <x:v>Automation / scripting</x:v>
      </x:c>
      <x:c r="B9" s="42" t="str">
        <x:v>hour</x:v>
      </x:c>
      <x:c r="C9" s="62" t="n">
        <x:v>12</x:v>
      </x:c>
      <x:c r="D9" s="62" t="n">
        <x:v>1</x:v>
      </x:c>
      <x:c r="E9" s="63" t="str">
        <x:v>GIS Developer</x:v>
      </x:c>
      <x:c r="F9" s="64" t="n">
        <x:f>IFERROR(VLOOKUP(E9,Role_Rates!$A$5:$H$25,6,FALSE),0)</x:f>
        <x:v>17.306666666666665</x:v>
      </x:c>
      <x:c r="G9" s="64" t="n">
        <x:f>IFERROR(F9/D9,0)</x:f>
        <x:v>17.306666666666665</x:v>
      </x:c>
      <x:c r="H9" s="65" t="n">
        <x:v>0</x:v>
      </x:c>
      <x:c r="I9" s="63" t="str">
        <x:v>Medium</x:v>
      </x:c>
      <x:c r="J9" s="42" t="n">
        <x:f>IFERROR(VLOOKUP(I9,Assumptions!$D$5:$E$8,2,FALSE),1)</x:f>
        <x:v>1.25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28.772333333333336</x:v>
      </x:c>
      <x:c r="P9" s="66" t="n">
        <x:f>Assumptions!$B$6</x:f>
        <x:v>0.35</x:v>
      </x:c>
      <x:c r="Q9" s="64" t="n">
        <x:f>IFERROR(O9/(1-P9),0)</x:f>
        <x:v>44.26512820512821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44.26512820512821</x:v>
      </x:c>
      <x:c r="U9" s="64" t="n">
        <x:f>C9*T9</x:f>
        <x:v>531.1815384615385</x:v>
      </x:c>
    </x:row>
    <x:row r="10">
      <x:c r="A10" s="42" t="str">
        <x:v>ETL / ingestion support</x:v>
      </x:c>
      <x:c r="B10" s="42" t="str">
        <x:v>hour</x:v>
      </x:c>
      <x:c r="C10" s="62" t="n">
        <x:v>12</x:v>
      </x:c>
      <x:c r="D10" s="62" t="n">
        <x:v>1</x:v>
      </x:c>
      <x:c r="E10" s="63" t="str">
        <x:v>Data Engineer</x:v>
      </x:c>
      <x:c r="F10" s="64" t="n">
        <x:f>IFERROR(VLOOKUP(E10,Role_Rates!$A$5:$H$25,6,FALSE),0)</x:f>
        <x:v>17.306666666666665</x:v>
      </x:c>
      <x:c r="G10" s="64" t="n">
        <x:f>IFERROR(F10/D10,0)</x:f>
        <x:v>17.306666666666665</x:v>
      </x:c>
      <x:c r="H10" s="65" t="n">
        <x:v>0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28.772333333333336</x:v>
      </x:c>
      <x:c r="P10" s="66" t="n">
        <x:f>Assumptions!$B$6</x:f>
        <x:v>0.35</x:v>
      </x:c>
      <x:c r="Q10" s="64" t="n">
        <x:f>IFERROR(O10/(1-P10),0)</x:f>
        <x:v>44.26512820512821</x:v>
      </x:c>
      <x:c r="R10" s="66" t="n">
        <x:f>IFERROR(VLOOKUP(C10,Assumptions!$G$5:$H$9,2,TRUE),0)</x:f>
        <x:v>0</x:v>
      </x:c>
      <x:c r="S10" s="67" t="n">
        <x:v>0</x:v>
      </x:c>
      <x:c r="T10" s="64" t="n">
        <x:f>Q10*(1-R10)*(1+S10)</x:f>
        <x:v>44.26512820512821</x:v>
      </x:c>
      <x:c r="U10" s="64" t="n">
        <x:f>C10*T10</x:f>
        <x:v>531.1815384615385</x:v>
      </x:c>
    </x:row>
    <x:row r="11">
      <x:c r="A11" s="42" t="str">
        <x:v>Project management</x:v>
      </x:c>
      <x:c r="B11" s="42" t="str">
        <x:v>hour</x:v>
      </x:c>
      <x:c r="C11" s="62" t="n">
        <x:v>8</x:v>
      </x:c>
      <x:c r="D11" s="62" t="n">
        <x:v>1</x:v>
      </x:c>
      <x:c r="E11" s="63" t="str">
        <x:v>Project Manager</x:v>
      </x:c>
      <x:c r="F11" s="64" t="n">
        <x:f>IFERROR(VLOOKUP(E11,Role_Rates!$A$5:$H$25,6,FALSE),0)</x:f>
        <x:v>19.666666666666668</x:v>
      </x:c>
      <x:c r="G11" s="64" t="n">
        <x:f>IFERROR(F11/D11,0)</x:f>
        <x:v>19.666666666666668</x:v>
      </x:c>
      <x:c r="H11" s="65" t="n">
        <x:v>0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26.15666666666667</x:v>
      </x:c>
      <x:c r="P11" s="66" t="n">
        <x:f>Assumptions!$B$6</x:f>
        <x:v>0.35</x:v>
      </x:c>
      <x:c r="Q11" s="64" t="n">
        <x:f>IFERROR(O11/(1-P11),0)</x:f>
        <x:v>40.241025641025644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40.241025641025644</x:v>
      </x:c>
      <x:c r="U11" s="64" t="n">
        <x:f>C11*T11</x:f>
        <x:v>321.92820512820515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3038.0602505827505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{E3BD7BAA-A48A-6F63-9935-009559BE8CBE}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3BD7BAA-A48A-6F63-9935-009559BE8CBE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Desk GIS Operations — Dedicated FTE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Use for long-running managed services with stable monthly workload and named skill mix.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GIS Analyst FTE</x:v>
      </x:c>
      <x:c r="B5" s="42" t="str">
        <x:v>FTE-month</x:v>
      </x:c>
      <x:c r="C5" s="62" t="n">
        <x:v>2</x:v>
      </x:c>
      <x:c r="D5" s="62" t="n">
        <x:v>0.00625</x:v>
      </x:c>
      <x:c r="E5" s="63" t="str">
        <x:v>GIS Analyst</x:v>
      </x:c>
      <x:c r="F5" s="64" t="n">
        <x:f>IFERROR(VLOOKUP(E5,Role_Rates!$A$5:$H$25,6,FALSE),0)</x:f>
        <x:v>6.637499999999999</x:v>
      </x:c>
      <x:c r="G5" s="64" t="n">
        <x:f>IFERROR(F5/D5,0)</x:f>
        <x:v>1061.9999999999998</x:v>
      </x:c>
      <x:c r="H5" s="65" t="n">
        <x:v>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1412.4599999999998</x:v>
      </x:c>
      <x:c r="P5" s="66" t="n">
        <x:f>Assumptions!$B$6</x:f>
        <x:v>0.35</x:v>
      </x:c>
      <x:c r="Q5" s="64" t="n">
        <x:f>IFERROR(O5/(1-P5),0)</x:f>
        <x:v>2173.0153846153844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2173.0153846153844</x:v>
      </x:c>
      <x:c r="U5" s="64" t="n">
        <x:f>C5*T5</x:f>
        <x:v>4346.030769230769</x:v>
      </x:c>
    </x:row>
    <x:row r="6">
      <x:c r="A6" s="42" t="str">
        <x:v>Senior GIS Analyst FTE</x:v>
      </x:c>
      <x:c r="B6" s="42" t="str">
        <x:v>FTE-month</x:v>
      </x:c>
      <x:c r="C6" s="62" t="n">
        <x:v>1</x:v>
      </x:c>
      <x:c r="D6" s="62" t="n">
        <x:v>0.00625</x:v>
      </x:c>
      <x:c r="E6" s="63" t="str">
        <x:v>Senior GIS Analyst</x:v>
      </x:c>
      <x:c r="F6" s="64" t="n">
        <x:f>IFERROR(VLOOKUP(E6,Role_Rates!$A$5:$H$25,6,FALSE),0)</x:f>
        <x:v>9.5875</x:v>
      </x:c>
      <x:c r="G6" s="64" t="n">
        <x:f>IFERROR(F6/D6,0)</x:f>
        <x:v>1534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2040.22</x:v>
      </x:c>
      <x:c r="P6" s="66" t="n">
        <x:f>Assumptions!$B$6</x:f>
        <x:v>0.35</x:v>
      </x:c>
      <x:c r="Q6" s="64" t="n">
        <x:f>IFERROR(O6/(1-P6),0)</x:f>
        <x:v>3138.7999999999997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3138.7999999999997</x:v>
      </x:c>
      <x:c r="U6" s="64" t="n">
        <x:f>C6*T6</x:f>
        <x:v>3138.7999999999997</x:v>
      </x:c>
    </x:row>
    <x:row r="7">
      <x:c r="A7" s="42" t="str">
        <x:v>QA Analyst FTE</x:v>
      </x:c>
      <x:c r="B7" s="42" t="str">
        <x:v>FTE-month</x:v>
      </x:c>
      <x:c r="C7" s="62" t="n">
        <x:v>1</x:v>
      </x:c>
      <x:c r="D7" s="62" t="n">
        <x:v>0.00625</x:v>
      </x:c>
      <x:c r="E7" s="63" t="str">
        <x:v>QA Analyst</x:v>
      </x:c>
      <x:c r="F7" s="64" t="n">
        <x:f>IFERROR(VLOOKUP(E7,Role_Rates!$A$5:$H$25,6,FALSE),0)</x:f>
        <x:v>7.375</x:v>
      </x:c>
      <x:c r="G7" s="64" t="n">
        <x:f>IFERROR(F7/D7,0)</x:f>
        <x:v>1180</x:v>
      </x:c>
      <x:c r="H7" s="65" t="n">
        <x:v>0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1569.4</x:v>
      </x:c>
      <x:c r="P7" s="66" t="n">
        <x:f>Assumptions!$B$6</x:f>
        <x:v>0.35</x:v>
      </x:c>
      <x:c r="Q7" s="64" t="n">
        <x:f>IFERROR(O7/(1-P7),0)</x:f>
        <x:v>2414.4615384615386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2414.4615384615386</x:v>
      </x:c>
      <x:c r="U7" s="64" t="n">
        <x:f>C7*T7</x:f>
        <x:v>2414.4615384615386</x:v>
      </x:c>
    </x:row>
    <x:row r="8">
      <x:c r="A8" s="42" t="str">
        <x:v>Navigation Editor FTE</x:v>
      </x:c>
      <x:c r="B8" s="42" t="str">
        <x:v>FTE-month</x:v>
      </x:c>
      <x:c r="C8" s="62" t="n">
        <x:v>2</x:v>
      </x:c>
      <x:c r="D8" s="62" t="n">
        <x:v>0.00625</x:v>
      </x:c>
      <x:c r="E8" s="63" t="str">
        <x:v>Navigation Editor</x:v>
      </x:c>
      <x:c r="F8" s="64" t="n">
        <x:f>IFERROR(VLOOKUP(E8,Role_Rates!$A$5:$H$25,6,FALSE),0)</x:f>
        <x:v>7.7437499999999995</x:v>
      </x:c>
      <x:c r="G8" s="64" t="n">
        <x:f>IFERROR(F8/D8,0)</x:f>
        <x:v>1238.9999999999998</x:v>
      </x:c>
      <x:c r="H8" s="65" t="n">
        <x:v>0</x:v>
      </x:c>
      <x:c r="I8" s="63" t="str">
        <x:v>Standard</x:v>
      </x:c>
      <x:c r="J8" s="42" t="n">
        <x:f>IFERROR(VLOOKUP(I8,Assumptions!$D$5:$E$8,2,FALSE),1)</x:f>
        <x:v>1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1647.87</x:v>
      </x:c>
      <x:c r="P8" s="66" t="n">
        <x:f>Assumptions!$B$6</x:f>
        <x:v>0.35</x:v>
      </x:c>
      <x:c r="Q8" s="64" t="n">
        <x:f>IFERROR(O8/(1-P8),0)</x:f>
        <x:v>2535.184615384615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2535.184615384615</x:v>
      </x:c>
      <x:c r="U8" s="64" t="n">
        <x:f>C8*T8</x:f>
        <x:v>5070.36923076923</x:v>
      </x:c>
    </x:row>
    <x:row r="9">
      <x:c r="A9" s="42" t="str">
        <x:v>POI/Address Analyst FTE</x:v>
      </x:c>
      <x:c r="B9" s="42" t="str">
        <x:v>FTE-month</x:v>
      </x:c>
      <x:c r="C9" s="62" t="n">
        <x:v>2</x:v>
      </x:c>
      <x:c r="D9" s="62" t="n">
        <x:v>0.00625</x:v>
      </x:c>
      <x:c r="E9" s="63" t="str">
        <x:v>POI/Address Analyst</x:v>
      </x:c>
      <x:c r="F9" s="64" t="n">
        <x:f>IFERROR(VLOOKUP(E9,Role_Rates!$A$5:$H$25,6,FALSE),0)</x:f>
        <x:v>7.00625</x:v>
      </x:c>
      <x:c r="G9" s="64" t="n">
        <x:f>IFERROR(F9/D9,0)</x:f>
        <x:v>1120.9999999999998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1490.9299999999998</x:v>
      </x:c>
      <x:c r="P9" s="66" t="n">
        <x:f>Assumptions!$B$6</x:f>
        <x:v>0.35</x:v>
      </x:c>
      <x:c r="Q9" s="64" t="n">
        <x:f>IFERROR(O9/(1-P9),0)</x:f>
        <x:v>2293.7384615384613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2293.7384615384613</x:v>
      </x:c>
      <x:c r="U9" s="64" t="n">
        <x:f>C9*T9</x:f>
        <x:v>4587.4769230769225</x:v>
      </x:c>
    </x:row>
    <x:row r="10">
      <x:c r="A10" s="42" t="str">
        <x:v>LiDAR Analyst FTE</x:v>
      </x:c>
      <x:c r="B10" s="42" t="str">
        <x:v>FTE-month</x:v>
      </x:c>
      <x:c r="C10" s="62" t="n">
        <x:v>1</x:v>
      </x:c>
      <x:c r="D10" s="62" t="n">
        <x:v>0.00625</x:v>
      </x:c>
      <x:c r="E10" s="63" t="str">
        <x:v>LiDAR Analyst</x:v>
      </x:c>
      <x:c r="F10" s="64" t="n">
        <x:f>IFERROR(VLOOKUP(E10,Role_Rates!$A$5:$H$25,6,FALSE),0)</x:f>
        <x:v>8.85</x:v>
      </x:c>
      <x:c r="G10" s="64" t="n">
        <x:f>IFERROR(F10/D10,0)</x:f>
        <x:v>1415.9999999999998</x:v>
      </x:c>
      <x:c r="H10" s="65" t="n">
        <x:v>0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1883.2799999999997</x:v>
      </x:c>
      <x:c r="P10" s="66" t="n">
        <x:f>Assumptions!$B$6</x:f>
        <x:v>0.35</x:v>
      </x:c>
      <x:c r="Q10" s="64" t="n">
        <x:f>IFERROR(O10/(1-P10),0)</x:f>
        <x:v>2897.3538461538456</x:v>
      </x:c>
      <x:c r="R10" s="66" t="n">
        <x:f>IFERROR(VLOOKUP(C10,Assumptions!$G$5:$H$9,2,TRUE),0)</x:f>
        <x:v>0</x:v>
      </x:c>
      <x:c r="S10" s="67" t="n">
        <x:v>0</x:v>
      </x:c>
      <x:c r="T10" s="64" t="n">
        <x:f>Q10*(1-R10)*(1+S10)</x:f>
        <x:v>2897.3538461538456</x:v>
      </x:c>
      <x:c r="U10" s="64" t="n">
        <x:f>C10*T10</x:f>
        <x:v>2897.3538461538456</x:v>
      </x:c>
    </x:row>
    <x:row r="11">
      <x:c r="A11" s="42" t="str">
        <x:v>Project Manager FTE</x:v>
      </x:c>
      <x:c r="B11" s="42" t="str">
        <x:v>FTE-month</x:v>
      </x:c>
      <x:c r="C11" s="62" t="n">
        <x:v>0.5</x:v>
      </x:c>
      <x:c r="D11" s="62" t="n">
        <x:v>0.006666666666666667</x:v>
      </x:c>
      <x:c r="E11" s="63" t="str">
        <x:v>Project Manager</x:v>
      </x:c>
      <x:c r="F11" s="64" t="n">
        <x:f>IFERROR(VLOOKUP(E11,Role_Rates!$A$5:$H$25,6,FALSE),0)</x:f>
        <x:v>19.666666666666668</x:v>
      </x:c>
      <x:c r="G11" s="64" t="n">
        <x:f>IFERROR(F11/D11,0)</x:f>
        <x:v>2950</x:v>
      </x:c>
      <x:c r="H11" s="65" t="n">
        <x:v>0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3923.5</x:v>
      </x:c>
      <x:c r="P11" s="66" t="n">
        <x:f>Assumptions!$B$6</x:f>
        <x:v>0.35</x:v>
      </x:c>
      <x:c r="Q11" s="64" t="n">
        <x:f>IFERROR(O11/(1-P11),0)</x:f>
        <x:v>6036.153846153846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6036.153846153846</x:v>
      </x:c>
      <x:c r="U11" s="64" t="n">
        <x:f>C11*T11</x:f>
        <x:v>3018.076923076923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25472.569230769226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{81DD368E-C5A3-002D-9BE4-8031DC67C6D2}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1DD368E-C5A3-002D-9BE4-8031DC67C6D2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Navigation Map Production — Road Network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Unit-based navigation editing for road geometry, topology, links and network maintenance.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Road geometry create/update</x:v>
      </x:c>
      <x:c r="B5" s="42" t="str">
        <x:v>road-km</x:v>
      </x:c>
      <x:c r="C5" s="62" t="n">
        <x:v>1000</x:v>
      </x:c>
      <x:c r="D5" s="62" t="n">
        <x:v>0.8</x:v>
      </x:c>
      <x:c r="E5" s="63" t="str">
        <x:v>Navigation Editor</x:v>
      </x:c>
      <x:c r="F5" s="64" t="n">
        <x:f>IFERROR(VLOOKUP(E5,Role_Rates!$A$5:$H$25,6,FALSE),0)</x:f>
        <x:v>7.7437499999999995</x:v>
      </x:c>
      <x:c r="G5" s="64" t="n">
        <x:f>IFERROR(F5/D5,0)</x:f>
        <x:v>9.679687499999998</x:v>
      </x:c>
      <x:c r="H5" s="65" t="n">
        <x:v>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12.873984375</x:v>
      </x:c>
      <x:c r="P5" s="66" t="n">
        <x:f>Assumptions!$B$6</x:f>
        <x:v>0.35</x:v>
      </x:c>
      <x:c r="Q5" s="64" t="n">
        <x:f>IFERROR(O5/(1-P5),0)</x:f>
        <x:v>19.806129807692304</x:v>
      </x:c>
      <x:c r="R5" s="66" t="n">
        <x:f>IFERROR(VLOOKUP(C5,Assumptions!$G$5:$H$9,2,TRUE),0)</x:f>
        <x:v>0.03</x:v>
      </x:c>
      <x:c r="S5" s="67" t="n">
        <x:v>0</x:v>
      </x:c>
      <x:c r="T5" s="64" t="n">
        <x:f>Q5*(1-R5)*(1+S5)</x:f>
        <x:v>19.211945913461534</x:v>
      </x:c>
      <x:c r="U5" s="64" t="n">
        <x:f>C5*T5</x:f>
        <x:v>19211.945913461535</x:v>
      </x:c>
    </x:row>
    <x:row r="6">
      <x:c r="A6" s="42" t="str">
        <x:v>Road link topology edit</x:v>
      </x:c>
      <x:c r="B6" s="42" t="str">
        <x:v>road-link</x:v>
      </x:c>
      <x:c r="C6" s="62" t="n">
        <x:v>5000</x:v>
      </x:c>
      <x:c r="D6" s="62" t="n">
        <x:v>12</x:v>
      </x:c>
      <x:c r="E6" s="63" t="str">
        <x:v>Navigation Editor</x:v>
      </x:c>
      <x:c r="F6" s="64" t="n">
        <x:f>IFERROR(VLOOKUP(E6,Role_Rates!$A$5:$H$25,6,FALSE),0)</x:f>
        <x:v>7.7437499999999995</x:v>
      </x:c>
      <x:c r="G6" s="64" t="n">
        <x:f>IFERROR(F6/D6,0)</x:f>
        <x:v>0.6453125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0.858265625</x:v>
      </x:c>
      <x:c r="P6" s="66" t="n">
        <x:f>Assumptions!$B$6</x:f>
        <x:v>0.35</x:v>
      </x:c>
      <x:c r="Q6" s="64" t="n">
        <x:f>IFERROR(O6/(1-P6),0)</x:f>
        <x:v>1.320408653846154</x:v>
      </x:c>
      <x:c r="R6" s="66" t="n">
        <x:f>IFERROR(VLOOKUP(C6,Assumptions!$G$5:$H$9,2,TRUE),0)</x:f>
        <x:v>0.08</x:v>
      </x:c>
      <x:c r="S6" s="67" t="n">
        <x:v>0</x:v>
      </x:c>
      <x:c r="T6" s="64" t="n">
        <x:f>Q6*(1-R6)*(1+S6)</x:f>
        <x:v>1.2147759615384617</x:v>
      </x:c>
      <x:c r="U6" s="64" t="n">
        <x:f>C6*T6</x:f>
        <x:v>6073.8798076923085</x:v>
      </x:c>
    </x:row>
    <x:row r="7">
      <x:c r="A7" s="42" t="str">
        <x:v>Intersection / junction validation</x:v>
      </x:c>
      <x:c r="B7" s="42" t="str">
        <x:v>junction</x:v>
      </x:c>
      <x:c r="C7" s="62" t="n">
        <x:v>1500</x:v>
      </x:c>
      <x:c r="D7" s="62" t="n">
        <x:v>15</x:v>
      </x:c>
      <x:c r="E7" s="63" t="str">
        <x:v>Navigation Editor</x:v>
      </x:c>
      <x:c r="F7" s="64" t="n">
        <x:f>IFERROR(VLOOKUP(E7,Role_Rates!$A$5:$H$25,6,FALSE),0)</x:f>
        <x:v>7.7437499999999995</x:v>
      </x:c>
      <x:c r="G7" s="64" t="n">
        <x:f>IFERROR(F7/D7,0)</x:f>
        <x:v>0.51625</x:v>
      </x:c>
      <x:c r="H7" s="65" t="n">
        <x:v>0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0.6866125000000001</x:v>
      </x:c>
      <x:c r="P7" s="66" t="n">
        <x:f>Assumptions!$B$6</x:f>
        <x:v>0.35</x:v>
      </x:c>
      <x:c r="Q7" s="64" t="n">
        <x:f>IFERROR(O7/(1-P7),0)</x:f>
        <x:v>1.0563269230769232</x:v>
      </x:c>
      <x:c r="R7" s="66" t="n">
        <x:f>IFERROR(VLOOKUP(C7,Assumptions!$G$5:$H$9,2,TRUE),0)</x:f>
        <x:v>0.03</x:v>
      </x:c>
      <x:c r="S7" s="67" t="n">
        <x:v>0</x:v>
      </x:c>
      <x:c r="T7" s="64" t="n">
        <x:f>Q7*(1-R7)*(1+S7)</x:f>
        <x:v>1.0246371153846154</x:v>
      </x:c>
      <x:c r="U7" s="64" t="n">
        <x:f>C7*T7</x:f>
        <x:v>1536.9556730769232</x:v>
      </x:c>
    </x:row>
    <x:row r="8">
      <x:c r="A8" s="42" t="str">
        <x:v>Road name / route number update</x:v>
      </x:c>
      <x:c r="B8" s="42" t="str">
        <x:v>road-link</x:v>
      </x:c>
      <x:c r="C8" s="62" t="n">
        <x:v>4000</x:v>
      </x:c>
      <x:c r="D8" s="62" t="n">
        <x:v>25</x:v>
      </x:c>
      <x:c r="E8" s="63" t="str">
        <x:v>Navigation Editor</x:v>
      </x:c>
      <x:c r="F8" s="64" t="n">
        <x:f>IFERROR(VLOOKUP(E8,Role_Rates!$A$5:$H$25,6,FALSE),0)</x:f>
        <x:v>7.7437499999999995</x:v>
      </x:c>
      <x:c r="G8" s="64" t="n">
        <x:f>IFERROR(F8/D8,0)</x:f>
        <x:v>0.30974999999999997</x:v>
      </x:c>
      <x:c r="H8" s="65" t="n">
        <x:v>0</x:v>
      </x:c>
      <x:c r="I8" s="63" t="str">
        <x:v>Simple</x:v>
      </x:c>
      <x:c r="J8" s="42" t="n">
        <x:f>IFERROR(VLOOKUP(I8,Assumptions!$D$5:$E$8,2,FALSE),1)</x:f>
        <x:v>0.85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0.350172375</x:v>
      </x:c>
      <x:c r="P8" s="66" t="n">
        <x:f>Assumptions!$B$6</x:f>
        <x:v>0.35</x:v>
      </x:c>
      <x:c r="Q8" s="64" t="n">
        <x:f>IFERROR(O8/(1-P8),0)</x:f>
        <x:v>0.5387267307692307</x:v>
      </x:c>
      <x:c r="R8" s="66" t="n">
        <x:f>IFERROR(VLOOKUP(C8,Assumptions!$G$5:$H$9,2,TRUE),0)</x:f>
        <x:v>0.05</x:v>
      </x:c>
      <x:c r="S8" s="67" t="n">
        <x:v>0</x:v>
      </x:c>
      <x:c r="T8" s="64" t="n">
        <x:f>Q8*(1-R8)*(1+S8)</x:f>
        <x:v>0.5117903942307691</x:v>
      </x:c>
      <x:c r="U8" s="64" t="n">
        <x:f>C8*T8</x:f>
        <x:v>2047.1615769230764</x:v>
      </x:c>
    </x:row>
    <x:row r="9">
      <x:c r="A9" s="42" t="str">
        <x:v>Functional class / road class update</x:v>
      </x:c>
      <x:c r="B9" s="42" t="str">
        <x:v>road-link</x:v>
      </x:c>
      <x:c r="C9" s="62" t="n">
        <x:v>4000</x:v>
      </x:c>
      <x:c r="D9" s="62" t="n">
        <x:v>30</x:v>
      </x:c>
      <x:c r="E9" s="63" t="str">
        <x:v>Navigation Editor</x:v>
      </x:c>
      <x:c r="F9" s="64" t="n">
        <x:f>IFERROR(VLOOKUP(E9,Role_Rates!$A$5:$H$25,6,FALSE),0)</x:f>
        <x:v>7.7437499999999995</x:v>
      </x:c>
      <x:c r="G9" s="64" t="n">
        <x:f>IFERROR(F9/D9,0)</x:f>
        <x:v>0.258125</x:v>
      </x:c>
      <x:c r="H9" s="65" t="n">
        <x:v>0</x:v>
      </x:c>
      <x:c r="I9" s="63" t="str">
        <x:v>Simple</x:v>
      </x:c>
      <x:c r="J9" s="42" t="n">
        <x:f>IFERROR(VLOOKUP(I9,Assumptions!$D$5:$E$8,2,FALSE),1)</x:f>
        <x:v>0.85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0.2918103125</x:v>
      </x:c>
      <x:c r="P9" s="66" t="n">
        <x:f>Assumptions!$B$6</x:f>
        <x:v>0.35</x:v>
      </x:c>
      <x:c r="Q9" s="64" t="n">
        <x:f>IFERROR(O9/(1-P9),0)</x:f>
        <x:v>0.44893894230769227</x:v>
      </x:c>
      <x:c r="R9" s="66" t="n">
        <x:f>IFERROR(VLOOKUP(C9,Assumptions!$G$5:$H$9,2,TRUE),0)</x:f>
        <x:v>0.05</x:v>
      </x:c>
      <x:c r="S9" s="67" t="n">
        <x:v>0</x:v>
      </x:c>
      <x:c r="T9" s="64" t="n">
        <x:f>Q9*(1-R9)*(1+S9)</x:f>
        <x:v>0.4264919951923076</x:v>
      </x:c>
      <x:c r="U9" s="64" t="n">
        <x:f>C9*T9</x:f>
        <x:v>1705.9679807692305</x:v>
      </x:c>
    </x:row>
    <x:row r="10">
      <x:c r="A10" s="42" t="str">
        <x:v>Road access / direction update</x:v>
      </x:c>
      <x:c r="B10" s="42" t="str">
        <x:v>road-link</x:v>
      </x:c>
      <x:c r="C10" s="62" t="n">
        <x:v>4000</x:v>
      </x:c>
      <x:c r="D10" s="62" t="n">
        <x:v>22</x:v>
      </x:c>
      <x:c r="E10" s="63" t="str">
        <x:v>Navigation Editor</x:v>
      </x:c>
      <x:c r="F10" s="64" t="n">
        <x:f>IFERROR(VLOOKUP(E10,Role_Rates!$A$5:$H$25,6,FALSE),0)</x:f>
        <x:v>7.7437499999999995</x:v>
      </x:c>
      <x:c r="G10" s="64" t="n">
        <x:f>IFERROR(F10/D10,0)</x:f>
        <x:v>0.35198863636363636</x:v>
      </x:c>
      <x:c r="H10" s="65" t="n">
        <x:v>0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0.4681448863636364</x:v>
      </x:c>
      <x:c r="P10" s="66" t="n">
        <x:f>Assumptions!$B$6</x:f>
        <x:v>0.35</x:v>
      </x:c>
      <x:c r="Q10" s="64" t="n">
        <x:f>IFERROR(O10/(1-P10),0)</x:f>
        <x:v>0.7202229020979021</x:v>
      </x:c>
      <x:c r="R10" s="66" t="n">
        <x:f>IFERROR(VLOOKUP(C10,Assumptions!$G$5:$H$9,2,TRUE),0)</x:f>
        <x:v>0.05</x:v>
      </x:c>
      <x:c r="S10" s="67" t="n">
        <x:v>0</x:v>
      </x:c>
      <x:c r="T10" s="64" t="n">
        <x:f>Q10*(1-R10)*(1+S10)</x:f>
        <x:v>0.684211756993007</x:v>
      </x:c>
      <x:c r="U10" s="64" t="n">
        <x:f>C10*T10</x:f>
        <x:v>2736.8470279720277</x:v>
      </x:c>
    </x:row>
    <x:row r="11">
      <x:c r="A11" s="42" t="str">
        <x:v>Map conflation against reference</x:v>
      </x:c>
      <x:c r="B11" s="42" t="str">
        <x:v>road-km</x:v>
      </x:c>
      <x:c r="C11" s="62" t="n">
        <x:v>800</x:v>
      </x:c>
      <x:c r="D11" s="62" t="n">
        <x:v>0.45</x:v>
      </x:c>
      <x:c r="E11" s="63" t="str">
        <x:v>Senior GIS Analyst</x:v>
      </x:c>
      <x:c r="F11" s="64" t="n">
        <x:f>IFERROR(VLOOKUP(E11,Role_Rates!$A$5:$H$25,6,FALSE),0)</x:f>
        <x:v>9.5875</x:v>
      </x:c>
      <x:c r="G11" s="64" t="n">
        <x:f>IFERROR(F11/D11,0)</x:f>
        <x:v>21.305555555555557</x:v>
      </x:c>
      <x:c r="H11" s="65" t="n">
        <x:v>0</x:v>
      </x:c>
      <x:c r="I11" s="63" t="str">
        <x:v>Medium</x:v>
      </x:c>
      <x:c r="J11" s="42" t="n">
        <x:f>IFERROR(VLOOKUP(I11,Assumptions!$D$5:$E$8,2,FALSE),1)</x:f>
        <x:v>1.25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35.42048611111112</x:v>
      </x:c>
      <x:c r="P11" s="66" t="n">
        <x:f>Assumptions!$B$6</x:f>
        <x:v>0.35</x:v>
      </x:c>
      <x:c r="Q11" s="64" t="n">
        <x:f>IFERROR(O11/(1-P11),0)</x:f>
        <x:v>54.493055555555564</x:v>
      </x:c>
      <x:c r="R11" s="66" t="n">
        <x:f>IFERROR(VLOOKUP(C11,Assumptions!$G$5:$H$9,2,TRUE),0)</x:f>
        <x:v>0.03</x:v>
      </x:c>
      <x:c r="S11" s="67" t="n">
        <x:v>0</x:v>
      </x:c>
      <x:c r="T11" s="64" t="n">
        <x:f>Q11*(1-R11)*(1+S11)</x:f>
        <x:v>52.8582638888889</x:v>
      </x:c>
      <x:c r="U11" s="64" t="n">
        <x:f>C11*T11</x:f>
        <x:v>42286.61111111112</x:v>
      </x:c>
    </x:row>
    <x:row r="12">
      <x:c r="A12" s="42" t="str">
        <x:v>Map change detection review</x:v>
      </x:c>
      <x:c r="B12" s="42" t="str">
        <x:v>road-km</x:v>
      </x:c>
      <x:c r="C12" s="62" t="n">
        <x:v>1000</x:v>
      </x:c>
      <x:c r="D12" s="62" t="n">
        <x:v>1.2</x:v>
      </x:c>
      <x:c r="E12" s="63" t="str">
        <x:v>GIS Analyst</x:v>
      </x:c>
      <x:c r="F12" s="64" t="n">
        <x:f>IFERROR(VLOOKUP(E12,Role_Rates!$A$5:$H$25,6,FALSE),0)</x:f>
        <x:v>6.637499999999999</x:v>
      </x:c>
      <x:c r="G12" s="64" t="n">
        <x:f>IFERROR(F12/D12,0)</x:f>
        <x:v>5.53125</x:v>
      </x:c>
      <x:c r="H12" s="65" t="n">
        <x:v>0</x:v>
      </x:c>
      <x:c r="I12" s="63" t="str">
        <x:v>Standard</x:v>
      </x:c>
      <x:c r="J12" s="42" t="n">
        <x:f>IFERROR(VLOOKUP(I12,Assumptions!$D$5:$E$8,2,FALSE),1)</x:f>
        <x:v>1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7.356562500000001</x:v>
      </x:c>
      <x:c r="P12" s="66" t="n">
        <x:f>Assumptions!$B$6</x:f>
        <x:v>0.35</x:v>
      </x:c>
      <x:c r="Q12" s="64" t="n">
        <x:f>IFERROR(O12/(1-P12),0)</x:f>
        <x:v>11.317788461538463</x:v>
      </x:c>
      <x:c r="R12" s="66" t="n">
        <x:f>IFERROR(VLOOKUP(C12,Assumptions!$G$5:$H$9,2,TRUE),0)</x:f>
        <x:v>0.03</x:v>
      </x:c>
      <x:c r="S12" s="67" t="n">
        <x:v>0</x:v>
      </x:c>
      <x:c r="T12" s="64" t="n">
        <x:f>Q12*(1-R12)*(1+S12)</x:f>
        <x:v>10.97825480769231</x:v>
      </x:c>
      <x:c r="U12" s="64" t="n">
        <x:f>C12*T12</x:f>
        <x:v>10978.254807692309</x:v>
      </x:c>
    </x:row>
    <x:row r="13">
      <x:c r="A13" s="42" t="str">
        <x:v>Routing connectivity QA</x:v>
      </x:c>
      <x:c r="B13" s="42" t="str">
        <x:v>road-km</x:v>
      </x:c>
      <x:c r="C13" s="62" t="n">
        <x:v>1000</x:v>
      </x:c>
      <x:c r="D13" s="62" t="n">
        <x:v>1.5</x:v>
      </x:c>
      <x:c r="E13" s="63" t="str">
        <x:v>QA Analyst</x:v>
      </x:c>
      <x:c r="F13" s="64" t="n">
        <x:f>IFERROR(VLOOKUP(E13,Role_Rates!$A$5:$H$25,6,FALSE),0)</x:f>
        <x:v>7.375</x:v>
      </x:c>
      <x:c r="G13" s="64" t="n">
        <x:f>IFERROR(F13/D13,0)</x:f>
        <x:v>4.916666666666667</x:v>
      </x:c>
      <x:c r="H13" s="65" t="n">
        <x:v>0</x:v>
      </x:c>
      <x:c r="I13" s="63" t="str">
        <x:v>Medium</x:v>
      </x:c>
      <x:c r="J13" s="42" t="n">
        <x:f>IFERROR(VLOOKUP(I13,Assumptions!$D$5:$E$8,2,FALSE),1)</x:f>
        <x:v>1.25</x:v>
      </x:c>
      <x:c r="K13" s="66" t="n">
        <x:f>Assumptions!$B$8</x:f>
        <x:v>0.15</x:v>
      </x:c>
      <x:c r="L13" s="66" t="n">
        <x:f>Assumptions!$B$9</x:f>
        <x:v>0.05</x:v>
      </x:c>
      <x:c r="M13" s="66" t="n">
        <x:f>Assumptions!$B$10</x:f>
        <x:v>0.08</x:v>
      </x:c>
      <x:c r="N13" s="66" t="n">
        <x:f>Assumptions!$B$11</x:f>
        <x:v>0.05</x:v>
      </x:c>
      <x:c r="O13" s="64" t="n">
        <x:f>(G13+H13)*J13*(1+K13+L13+M13+N13)</x:f>
        <x:v>8.173958333333335</x:v>
      </x:c>
      <x:c r="P13" s="66" t="n">
        <x:f>Assumptions!$B$6</x:f>
        <x:v>0.35</x:v>
      </x:c>
      <x:c r="Q13" s="64" t="n">
        <x:f>IFERROR(O13/(1-P13),0)</x:f>
        <x:v>12.575320512820515</x:v>
      </x:c>
      <x:c r="R13" s="66" t="n">
        <x:f>IFERROR(VLOOKUP(C13,Assumptions!$G$5:$H$9,2,TRUE),0)</x:f>
        <x:v>0.03</x:v>
      </x:c>
      <x:c r="S13" s="67" t="n">
        <x:v>0</x:v>
      </x:c>
      <x:c r="T13" s="64" t="n">
        <x:f>Q13*(1-R13)*(1+S13)</x:f>
        <x:v>12.198060897435898</x:v>
      </x:c>
      <x:c r="U13" s="64" t="n">
        <x:f>C13*T13</x:f>
        <x:v>12198.060897435898</x:v>
      </x:c>
    </x:row>
    <x:row r="14">
      <x:c r="A14" t="str">
        <x:v>Route / guidance test case</x:v>
      </x:c>
      <x:c r="B14" t="str">
        <x:v>test-case</x:v>
      </x:c>
      <x:c r="C14" s="26" t="n">
        <x:v>500</x:v>
      </x:c>
      <x:c r="D14" s="26" t="n">
        <x:v>8</x:v>
      </x:c>
      <x:c r="E14" s="26" t="str">
        <x:v>QA Analyst</x:v>
      </x:c>
      <x:c r="F14" s="56" t="n">
        <x:f>IFERROR(VLOOKUP(E14,Role_Rates!$A$5:$H$25,6,FALSE),0)</x:f>
        <x:v>7.375</x:v>
      </x:c>
      <x:c r="G14" s="56" t="n">
        <x:f>IFERROR(F14/D14,0)</x:f>
        <x:v>0.921875</x:v>
      </x:c>
      <x:c r="H14" s="58" t="n">
        <x:v>0</x:v>
      </x:c>
      <x:c r="I14" s="26" t="str">
        <x:v>Medium</x:v>
      </x:c>
      <x:c r="J14" t="n">
        <x:f>IFERROR(VLOOKUP(I14,Assumptions!$D$5:$E$8,2,FALSE),1)</x:f>
        <x:v>1.25</x:v>
      </x:c>
      <x:c r="K14" s="60" t="n">
        <x:f>Assumptions!$B$8</x:f>
        <x:v>0.15</x:v>
      </x:c>
      <x:c r="L14" s="60" t="n">
        <x:f>Assumptions!$B$9</x:f>
        <x:v>0.05</x:v>
      </x:c>
      <x:c r="M14" s="60" t="n">
        <x:f>Assumptions!$B$10</x:f>
        <x:v>0.08</x:v>
      </x:c>
      <x:c r="N14" s="60" t="n">
        <x:f>Assumptions!$B$11</x:f>
        <x:v>0.05</x:v>
      </x:c>
      <x:c r="O14" s="56" t="n">
        <x:f>(G14+H14)*J14*(1+K14+L14+M14+N14)</x:f>
        <x:v>1.5326171875</x:v>
      </x:c>
      <x:c r="P14" s="60" t="n">
        <x:f>Assumptions!$B$6</x:f>
        <x:v>0.35</x:v>
      </x:c>
      <x:c r="Q14" s="56" t="n">
        <x:f>IFERROR(O14/(1-P14),0)</x:f>
        <x:v>2.3578725961538463</x:v>
      </x:c>
      <x:c r="R14" s="60" t="n">
        <x:f>IFERROR(VLOOKUP(C14,Assumptions!$G$5:$H$9,2,TRUE),0)</x:f>
        <x:v>0.03</x:v>
      </x:c>
      <x:c r="S14" s="28" t="n">
        <x:v>0</x:v>
      </x:c>
      <x:c r="T14" s="56" t="n">
        <x:f>Q14*(1-R14)*(1+S14)</x:f>
        <x:v>2.2871364182692306</x:v>
      </x:c>
      <x:c r="U14" s="56" t="n">
        <x:f>C14*T14</x:f>
        <x:v>1143.5682091346152</x:v>
      </x:c>
    </x:row>
    <x:row r="15">
      <x:c r="A15" s="45" t="str">
        <x:v>Calculated Project Sell Value</x:v>
      </x:c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50" t="n">
        <x:f>MAX(SUM(U5:U14),Assumptions!$B$14)</x:f>
        <x:v>99919.25300526906</x:v>
      </x:c>
    </x:row>
    <x:row r="17" ht="28" customHeight="1">
      <x:c r="A17" s="34" t="str">
        <x:v>How to use: edit yellow input cells (Qty, Productivity, Role, Other Cost, Complexity, Rush %). All other rates are formula-driven from global assumptions and role costs.</x:v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</x:row>
  </x:sheetData>
  <x:mergeCells>
    <x:mergeCell ref="A1:U1"/>
    <x:mergeCell ref="A2:U2"/>
    <x:mergeCell ref="A15:T15"/>
    <x:mergeCell ref="A17:U17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{65C79590-B164-777B-3359-4A4A01CA69C1}</x14:id>
        </x:ext>
      </x:extLst>
    </x:cfRule>
  </x:conditionalFormatting>
  <x:dataValidations count="4">
    <x:dataValidation type="list" sqref="I5:I13">
      <x:formula1>"Simple,Standard,Medium,Complex"</x:formula1>
    </x:dataValidation>
    <x:dataValidation type="list" sqref="E5:E13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  <x:dataValidation type="list" sqref="I14">
      <x:formula1>"Simple,Standard,Medium,Complex"</x:formula1>
    </x:dataValidation>
    <x:dataValidation type="list" sqref="E14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5C79590-B164-777B-3359-4A4A01CA69C1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Navigation Map Production — Attributes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Feature/attribute-based pricing for routing, guidance and road restrictions.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Speed limit attribution</x:v>
      </x:c>
      <x:c r="B5" s="42" t="str">
        <x:v>segment</x:v>
      </x:c>
      <x:c r="C5" s="62" t="n">
        <x:v>10000</x:v>
      </x:c>
      <x:c r="D5" s="62" t="n">
        <x:v>25</x:v>
      </x:c>
      <x:c r="E5" s="63" t="str">
        <x:v>Navigation Editor</x:v>
      </x:c>
      <x:c r="F5" s="64" t="n">
        <x:f>IFERROR(VLOOKUP(E5,Role_Rates!$A$5:$H$25,6,FALSE),0)</x:f>
        <x:v>7.7437499999999995</x:v>
      </x:c>
      <x:c r="G5" s="64" t="n">
        <x:f>IFERROR(F5/D5,0)</x:f>
        <x:v>0.30974999999999997</x:v>
      </x:c>
      <x:c r="H5" s="65" t="n">
        <x:v>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0.4119675</x:v>
      </x:c>
      <x:c r="P5" s="66" t="n">
        <x:f>Assumptions!$B$6</x:f>
        <x:v>0.35</x:v>
      </x:c>
      <x:c r="Q5" s="64" t="n">
        <x:f>IFERROR(O5/(1-P5),0)</x:f>
        <x:v>0.6337961538461538</x:v>
      </x:c>
      <x:c r="R5" s="66" t="n">
        <x:f>IFERROR(VLOOKUP(C5,Assumptions!$G$5:$H$9,2,TRUE),0)</x:f>
        <x:v>0.1</x:v>
      </x:c>
      <x:c r="S5" s="67" t="n">
        <x:v>0</x:v>
      </x:c>
      <x:c r="T5" s="64" t="n">
        <x:f>Q5*(1-R5)*(1+S5)</x:f>
        <x:v>0.5704165384615385</x:v>
      </x:c>
      <x:c r="U5" s="64" t="n">
        <x:f>C5*T5</x:f>
        <x:v>5704.165384615385</x:v>
      </x:c>
    </x:row>
    <x:row r="6">
      <x:c r="A6" s="42" t="str">
        <x:v>Turn restriction create/update</x:v>
      </x:c>
      <x:c r="B6" s="42" t="str">
        <x:v>restriction</x:v>
      </x:c>
      <x:c r="C6" s="62" t="n">
        <x:v>2500</x:v>
      </x:c>
      <x:c r="D6" s="62" t="n">
        <x:v>12</x:v>
      </x:c>
      <x:c r="E6" s="63" t="str">
        <x:v>Navigation Editor</x:v>
      </x:c>
      <x:c r="F6" s="64" t="n">
        <x:f>IFERROR(VLOOKUP(E6,Role_Rates!$A$5:$H$25,6,FALSE),0)</x:f>
        <x:v>7.7437499999999995</x:v>
      </x:c>
      <x:c r="G6" s="64" t="n">
        <x:f>IFERROR(F6/D6,0)</x:f>
        <x:v>0.6453125</x:v>
      </x:c>
      <x:c r="H6" s="65" t="n">
        <x:v>0</x:v>
      </x:c>
      <x:c r="I6" s="63" t="str">
        <x:v>Medium</x:v>
      </x:c>
      <x:c r="J6" s="42" t="n">
        <x:f>IFERROR(VLOOKUP(I6,Assumptions!$D$5:$E$8,2,FALSE),1)</x:f>
        <x:v>1.25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1.0728320312500002</x:v>
      </x:c>
      <x:c r="P6" s="66" t="n">
        <x:f>Assumptions!$B$6</x:f>
        <x:v>0.35</x:v>
      </x:c>
      <x:c r="Q6" s="64" t="n">
        <x:f>IFERROR(O6/(1-P6),0)</x:f>
        <x:v>1.6505108173076926</x:v>
      </x:c>
      <x:c r="R6" s="66" t="n">
        <x:f>IFERROR(VLOOKUP(C6,Assumptions!$G$5:$H$9,2,TRUE),0)</x:f>
        <x:v>0.05</x:v>
      </x:c>
      <x:c r="S6" s="67" t="n">
        <x:v>0</x:v>
      </x:c>
      <x:c r="T6" s="64" t="n">
        <x:f>Q6*(1-R6)*(1+S6)</x:f>
        <x:v>1.567985276442308</x:v>
      </x:c>
      <x:c r="U6" s="64" t="n">
        <x:f>C6*T6</x:f>
        <x:v>3919.96319110577</x:v>
      </x:c>
    </x:row>
    <x:row r="7">
      <x:c r="A7" s="42" t="str">
        <x:v>One-way / access restriction</x:v>
      </x:c>
      <x:c r="B7" s="42" t="str">
        <x:v>restriction</x:v>
      </x:c>
      <x:c r="C7" s="62" t="n">
        <x:v>2500</x:v>
      </x:c>
      <x:c r="D7" s="62" t="n">
        <x:v>18</x:v>
      </x:c>
      <x:c r="E7" s="63" t="str">
        <x:v>Navigation Editor</x:v>
      </x:c>
      <x:c r="F7" s="64" t="n">
        <x:f>IFERROR(VLOOKUP(E7,Role_Rates!$A$5:$H$25,6,FALSE),0)</x:f>
        <x:v>7.7437499999999995</x:v>
      </x:c>
      <x:c r="G7" s="64" t="n">
        <x:f>IFERROR(F7/D7,0)</x:f>
        <x:v>0.4302083333333333</x:v>
      </x:c>
      <x:c r="H7" s="65" t="n">
        <x:v>0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0.5721770833333333</x:v>
      </x:c>
      <x:c r="P7" s="66" t="n">
        <x:f>Assumptions!$B$6</x:f>
        <x:v>0.35</x:v>
      </x:c>
      <x:c r="Q7" s="64" t="n">
        <x:f>IFERROR(O7/(1-P7),0)</x:f>
        <x:v>0.8802724358974358</x:v>
      </x:c>
      <x:c r="R7" s="66" t="n">
        <x:f>IFERROR(VLOOKUP(C7,Assumptions!$G$5:$H$9,2,TRUE),0)</x:f>
        <x:v>0.05</x:v>
      </x:c>
      <x:c r="S7" s="67" t="n">
        <x:v>0</x:v>
      </x:c>
      <x:c r="T7" s="64" t="n">
        <x:f>Q7*(1-R7)*(1+S7)</x:f>
        <x:v>0.836258814102564</x:v>
      </x:c>
      <x:c r="U7" s="64" t="n">
        <x:f>C7*T7</x:f>
        <x:v>2090.64703525641</x:v>
      </x:c>
    </x:row>
    <x:row r="8">
      <x:c r="A8" s="42" t="str">
        <x:v>Lane count / lane attribution</x:v>
      </x:c>
      <x:c r="B8" s="42" t="str">
        <x:v>segment</x:v>
      </x:c>
      <x:c r="C8" s="62" t="n">
        <x:v>5000</x:v>
      </x:c>
      <x:c r="D8" s="62" t="n">
        <x:v>16</x:v>
      </x:c>
      <x:c r="E8" s="63" t="str">
        <x:v>Navigation Editor</x:v>
      </x:c>
      <x:c r="F8" s="64" t="n">
        <x:f>IFERROR(VLOOKUP(E8,Role_Rates!$A$5:$H$25,6,FALSE),0)</x:f>
        <x:v>7.7437499999999995</x:v>
      </x:c>
      <x:c r="G8" s="64" t="n">
        <x:f>IFERROR(F8/D8,0)</x:f>
        <x:v>0.48398437499999997</x:v>
      </x:c>
      <x:c r="H8" s="65" t="n">
        <x:v>0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0.8046240234375001</x:v>
      </x:c>
      <x:c r="P8" s="66" t="n">
        <x:f>Assumptions!$B$6</x:f>
        <x:v>0.35</x:v>
      </x:c>
      <x:c r="Q8" s="64" t="n">
        <x:f>IFERROR(O8/(1-P8),0)</x:f>
        <x:v>1.2378831129807693</x:v>
      </x:c>
      <x:c r="R8" s="66" t="n">
        <x:f>IFERROR(VLOOKUP(C8,Assumptions!$G$5:$H$9,2,TRUE),0)</x:f>
        <x:v>0.08</x:v>
      </x:c>
      <x:c r="S8" s="67" t="n">
        <x:v>0</x:v>
      </x:c>
      <x:c r="T8" s="64" t="n">
        <x:f>Q8*(1-R8)*(1+S8)</x:f>
        <x:v>1.1388524639423077</x:v>
      </x:c>
      <x:c r="U8" s="64" t="n">
        <x:f>C8*T8</x:f>
        <x:v>5694.262319711538</x:v>
      </x:c>
    </x:row>
    <x:row r="9">
      <x:c r="A9" s="42" t="str">
        <x:v>Traffic sign extraction</x:v>
      </x:c>
      <x:c r="B9" s="42" t="str">
        <x:v>sign</x:v>
      </x:c>
      <x:c r="C9" s="62" t="n">
        <x:v>3000</x:v>
      </x:c>
      <x:c r="D9" s="62" t="n">
        <x:v>20</x:v>
      </x:c>
      <x:c r="E9" s="63" t="str">
        <x:v>GIS Analyst</x:v>
      </x:c>
      <x:c r="F9" s="64" t="n">
        <x:f>IFERROR(VLOOKUP(E9,Role_Rates!$A$5:$H$25,6,FALSE),0)</x:f>
        <x:v>6.637499999999999</x:v>
      </x:c>
      <x:c r="G9" s="64" t="n">
        <x:f>IFERROR(F9/D9,0)</x:f>
        <x:v>0.331875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0.44139375</x:v>
      </x:c>
      <x:c r="P9" s="66" t="n">
        <x:f>Assumptions!$B$6</x:f>
        <x:v>0.35</x:v>
      </x:c>
      <x:c r="Q9" s="64" t="n">
        <x:f>IFERROR(O9/(1-P9),0)</x:f>
        <x:v>0.6790673076923076</x:v>
      </x:c>
      <x:c r="R9" s="66" t="n">
        <x:f>IFERROR(VLOOKUP(C9,Assumptions!$G$5:$H$9,2,TRUE),0)</x:f>
        <x:v>0.05</x:v>
      </x:c>
      <x:c r="S9" s="67" t="n">
        <x:v>0</x:v>
      </x:c>
      <x:c r="T9" s="64" t="n">
        <x:f>Q9*(1-R9)*(1+S9)</x:f>
        <x:v>0.6451139423076921</x:v>
      </x:c>
      <x:c r="U9" s="64" t="n">
        <x:f>C9*T9</x:f>
        <x:v>1935.3418269230765</x:v>
      </x:c>
    </x:row>
    <x:row r="10">
      <x:c r="A10" s="42" t="str">
        <x:v>Signpost / destination guidance</x:v>
      </x:c>
      <x:c r="B10" s="42" t="str">
        <x:v>signpost</x:v>
      </x:c>
      <x:c r="C10" s="62" t="n">
        <x:v>1500</x:v>
      </x:c>
      <x:c r="D10" s="62" t="n">
        <x:v>10</x:v>
      </x:c>
      <x:c r="E10" s="63" t="str">
        <x:v>Senior GIS Analyst</x:v>
      </x:c>
      <x:c r="F10" s="64" t="n">
        <x:f>IFERROR(VLOOKUP(E10,Role_Rates!$A$5:$H$25,6,FALSE),0)</x:f>
        <x:v>9.5875</x:v>
      </x:c>
      <x:c r="G10" s="64" t="n">
        <x:f>IFERROR(F10/D10,0)</x:f>
        <x:v>0.95875</x:v>
      </x:c>
      <x:c r="H10" s="65" t="n">
        <x:v>0</x:v>
      </x:c>
      <x:c r="I10" s="63" t="str">
        <x:v>Complex</x:v>
      </x:c>
      <x:c r="J10" s="42" t="n">
        <x:f>IFERROR(VLOOKUP(I10,Assumptions!$D$5:$E$8,2,FALSE),1)</x:f>
        <x:v>1.6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2.04022</x:v>
      </x:c>
      <x:c r="P10" s="66" t="n">
        <x:f>Assumptions!$B$6</x:f>
        <x:v>0.35</x:v>
      </x:c>
      <x:c r="Q10" s="64" t="n">
        <x:f>IFERROR(O10/(1-P10),0)</x:f>
        <x:v>3.1388000000000003</x:v>
      </x:c>
      <x:c r="R10" s="66" t="n">
        <x:f>IFERROR(VLOOKUP(C10,Assumptions!$G$5:$H$9,2,TRUE),0)</x:f>
        <x:v>0.03</x:v>
      </x:c>
      <x:c r="S10" s="67" t="n">
        <x:v>0</x:v>
      </x:c>
      <x:c r="T10" s="64" t="n">
        <x:f>Q10*(1-R10)*(1+S10)</x:f>
        <x:v>3.044636</x:v>
      </x:c>
      <x:c r="U10" s="64" t="n">
        <x:f>C10*T10</x:f>
        <x:v>4566.954000000001</x:v>
      </x:c>
    </x:row>
    <x:row r="11">
      <x:c r="A11" s="42" t="str">
        <x:v>Toll road / toll booth attribution</x:v>
      </x:c>
      <x:c r="B11" s="42" t="str">
        <x:v>feature</x:v>
      </x:c>
      <x:c r="C11" s="62" t="n">
        <x:v>1000</x:v>
      </x:c>
      <x:c r="D11" s="62" t="n">
        <x:v>15</x:v>
      </x:c>
      <x:c r="E11" s="63" t="str">
        <x:v>Navigation Editor</x:v>
      </x:c>
      <x:c r="F11" s="64" t="n">
        <x:f>IFERROR(VLOOKUP(E11,Role_Rates!$A$5:$H$25,6,FALSE),0)</x:f>
        <x:v>7.7437499999999995</x:v>
      </x:c>
      <x:c r="G11" s="64" t="n">
        <x:f>IFERROR(F11/D11,0)</x:f>
        <x:v>0.51625</x:v>
      </x:c>
      <x:c r="H11" s="65" t="n">
        <x:v>0</x:v>
      </x:c>
      <x:c r="I11" s="63" t="str">
        <x:v>Medium</x:v>
      </x:c>
      <x:c r="J11" s="42" t="n">
        <x:f>IFERROR(VLOOKUP(I11,Assumptions!$D$5:$E$8,2,FALSE),1)</x:f>
        <x:v>1.25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0.858265625</x:v>
      </x:c>
      <x:c r="P11" s="66" t="n">
        <x:f>Assumptions!$B$6</x:f>
        <x:v>0.35</x:v>
      </x:c>
      <x:c r="Q11" s="64" t="n">
        <x:f>IFERROR(O11/(1-P11),0)</x:f>
        <x:v>1.320408653846154</x:v>
      </x:c>
      <x:c r="R11" s="66" t="n">
        <x:f>IFERROR(VLOOKUP(C11,Assumptions!$G$5:$H$9,2,TRUE),0)</x:f>
        <x:v>0.03</x:v>
      </x:c>
      <x:c r="S11" s="67" t="n">
        <x:v>0</x:v>
      </x:c>
      <x:c r="T11" s="64" t="n">
        <x:f>Q11*(1-R11)*(1+S11)</x:f>
        <x:v>1.2807963942307692</x:v>
      </x:c>
      <x:c r="U11" s="64" t="n">
        <x:f>C11*T11</x:f>
        <x:v>1280.7963942307692</x:v>
      </x:c>
    </x:row>
    <x:row r="12">
      <x:c r="A12" s="42" t="str">
        <x:v>Truck / vehicle restriction</x:v>
      </x:c>
      <x:c r="B12" s="42" t="str">
        <x:v>restriction</x:v>
      </x:c>
      <x:c r="C12" s="62" t="n">
        <x:v>1200</x:v>
      </x:c>
      <x:c r="D12" s="62" t="n">
        <x:v>10</x:v>
      </x:c>
      <x:c r="E12" s="63" t="str">
        <x:v>Senior GIS Analyst</x:v>
      </x:c>
      <x:c r="F12" s="64" t="n">
        <x:f>IFERROR(VLOOKUP(E12,Role_Rates!$A$5:$H$25,6,FALSE),0)</x:f>
        <x:v>9.5875</x:v>
      </x:c>
      <x:c r="G12" s="64" t="n">
        <x:f>IFERROR(F12/D12,0)</x:f>
        <x:v>0.95875</x:v>
      </x:c>
      <x:c r="H12" s="65" t="n">
        <x:v>0</x:v>
      </x:c>
      <x:c r="I12" s="63" t="str">
        <x:v>Complex</x:v>
      </x:c>
      <x:c r="J12" s="42" t="n">
        <x:f>IFERROR(VLOOKUP(I12,Assumptions!$D$5:$E$8,2,FALSE),1)</x:f>
        <x:v>1.6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2.04022</x:v>
      </x:c>
      <x:c r="P12" s="66" t="n">
        <x:f>Assumptions!$B$6</x:f>
        <x:v>0.35</x:v>
      </x:c>
      <x:c r="Q12" s="64" t="n">
        <x:f>IFERROR(O12/(1-P12),0)</x:f>
        <x:v>3.1388000000000003</x:v>
      </x:c>
      <x:c r="R12" s="66" t="n">
        <x:f>IFERROR(VLOOKUP(C12,Assumptions!$G$5:$H$9,2,TRUE),0)</x:f>
        <x:v>0.03</x:v>
      </x:c>
      <x:c r="S12" s="67" t="n">
        <x:v>0</x:v>
      </x:c>
      <x:c r="T12" s="64" t="n">
        <x:f>Q12*(1-R12)*(1+S12)</x:f>
        <x:v>3.044636</x:v>
      </x:c>
      <x:c r="U12" s="64" t="n">
        <x:f>C12*T12</x:f>
        <x:v>3653.5632</x:v>
      </x:c>
    </x:row>
    <x:row r="13">
      <x:c r="A13" s="42" t="str">
        <x:v>Barrier / gate / crossing</x:v>
      </x:c>
      <x:c r="B13" s="42" t="str">
        <x:v>feature</x:v>
      </x:c>
      <x:c r="C13" s="62" t="n">
        <x:v>3000</x:v>
      </x:c>
      <x:c r="D13" s="62" t="n">
        <x:v>22</x:v>
      </x:c>
      <x:c r="E13" s="63" t="str">
        <x:v>GIS Analyst</x:v>
      </x:c>
      <x:c r="F13" s="64" t="n">
        <x:f>IFERROR(VLOOKUP(E13,Role_Rates!$A$5:$H$25,6,FALSE),0)</x:f>
        <x:v>6.637499999999999</x:v>
      </x:c>
      <x:c r="G13" s="64" t="n">
        <x:f>IFERROR(F13/D13,0)</x:f>
        <x:v>0.30170454545454545</x:v>
      </x:c>
      <x:c r="H13" s="65" t="n">
        <x:v>0</x:v>
      </x:c>
      <x:c r="I13" s="63" t="str">
        <x:v>Standard</x:v>
      </x:c>
      <x:c r="J13" s="42" t="n">
        <x:f>IFERROR(VLOOKUP(I13,Assumptions!$D$5:$E$8,2,FALSE),1)</x:f>
        <x:v>1</x:v>
      </x:c>
      <x:c r="K13" s="66" t="n">
        <x:f>Assumptions!$B$8</x:f>
        <x:v>0.15</x:v>
      </x:c>
      <x:c r="L13" s="66" t="n">
        <x:f>Assumptions!$B$9</x:f>
        <x:v>0.05</x:v>
      </x:c>
      <x:c r="M13" s="66" t="n">
        <x:f>Assumptions!$B$10</x:f>
        <x:v>0.08</x:v>
      </x:c>
      <x:c r="N13" s="66" t="n">
        <x:f>Assumptions!$B$11</x:f>
        <x:v>0.05</x:v>
      </x:c>
      <x:c r="O13" s="64" t="n">
        <x:f>(G13+H13)*J13*(1+K13+L13+M13+N13)</x:f>
        <x:v>0.40126704545454545</x:v>
      </x:c>
      <x:c r="P13" s="66" t="n">
        <x:f>Assumptions!$B$6</x:f>
        <x:v>0.35</x:v>
      </x:c>
      <x:c r="Q13" s="64" t="n">
        <x:f>IFERROR(O13/(1-P13),0)</x:f>
        <x:v>0.6173339160839161</x:v>
      </x:c>
      <x:c r="R13" s="66" t="n">
        <x:f>IFERROR(VLOOKUP(C13,Assumptions!$G$5:$H$9,2,TRUE),0)</x:f>
        <x:v>0.05</x:v>
      </x:c>
      <x:c r="S13" s="67" t="n">
        <x:v>0</x:v>
      </x:c>
      <x:c r="T13" s="64" t="n">
        <x:f>Q13*(1-R13)*(1+S13)</x:f>
        <x:v>0.5864672202797202</x:v>
      </x:c>
      <x:c r="U13" s="64" t="n">
        <x:f>C13*T13</x:f>
        <x:v>1759.4016608391605</x:v>
      </x:c>
    </x:row>
    <x:row r="14">
      <x:c r="A14" s="42" t="str">
        <x:v>Turnaround / maneuver feature</x:v>
      </x:c>
      <x:c r="B14" s="42" t="str">
        <x:v>feature</x:v>
      </x:c>
      <x:c r="C14" s="62" t="n">
        <x:v>1000</x:v>
      </x:c>
      <x:c r="D14" s="62" t="n">
        <x:v>18</x:v>
      </x:c>
      <x:c r="E14" s="63" t="str">
        <x:v>GIS Analyst</x:v>
      </x:c>
      <x:c r="F14" s="64" t="n">
        <x:f>IFERROR(VLOOKUP(E14,Role_Rates!$A$5:$H$25,6,FALSE),0)</x:f>
        <x:v>6.637499999999999</x:v>
      </x:c>
      <x:c r="G14" s="64" t="n">
        <x:f>IFERROR(F14/D14,0)</x:f>
        <x:v>0.36874999999999997</x:v>
      </x:c>
      <x:c r="H14" s="65" t="n">
        <x:v>0</x:v>
      </x:c>
      <x:c r="I14" s="63" t="str">
        <x:v>Medium</x:v>
      </x:c>
      <x:c r="J14" s="42" t="n">
        <x:f>IFERROR(VLOOKUP(I14,Assumptions!$D$5:$E$8,2,FALSE),1)</x:f>
        <x:v>1.25</x:v>
      </x:c>
      <x:c r="K14" s="66" t="n">
        <x:f>Assumptions!$B$8</x:f>
        <x:v>0.15</x:v>
      </x:c>
      <x:c r="L14" s="66" t="n">
        <x:f>Assumptions!$B$9</x:f>
        <x:v>0.05</x:v>
      </x:c>
      <x:c r="M14" s="66" t="n">
        <x:f>Assumptions!$B$10</x:f>
        <x:v>0.08</x:v>
      </x:c>
      <x:c r="N14" s="66" t="n">
        <x:f>Assumptions!$B$11</x:f>
        <x:v>0.05</x:v>
      </x:c>
      <x:c r="O14" s="64" t="n">
        <x:f>(G14+H14)*J14*(1+K14+L14+M14+N14)</x:f>
        <x:v>0.613046875</x:v>
      </x:c>
      <x:c r="P14" s="66" t="n">
        <x:f>Assumptions!$B$6</x:f>
        <x:v>0.35</x:v>
      </x:c>
      <x:c r="Q14" s="64" t="n">
        <x:f>IFERROR(O14/(1-P14),0)</x:f>
        <x:v>0.9431490384615384</x:v>
      </x:c>
      <x:c r="R14" s="66" t="n">
        <x:f>IFERROR(VLOOKUP(C14,Assumptions!$G$5:$H$9,2,TRUE),0)</x:f>
        <x:v>0.03</x:v>
      </x:c>
      <x:c r="S14" s="67" t="n">
        <x:v>0</x:v>
      </x:c>
      <x:c r="T14" s="64" t="n">
        <x:f>Q14*(1-R14)*(1+S14)</x:f>
        <x:v>0.9148545673076922</x:v>
      </x:c>
      <x:c r="U14" s="64" t="n">
        <x:f>C14*T14</x:f>
        <x:v>914.8545673076923</x:v>
      </x:c>
    </x:row>
    <x:row r="16">
      <x:c r="A16" s="45" t="str">
        <x:v>Calculated Project Sell Value</x:v>
      </x:c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50" t="n">
        <x:f>MAX(SUM(U5:U14),Assumptions!$B$14)</x:f>
        <x:v>31519.949579989803</x:v>
      </x:c>
    </x:row>
    <x:row r="18" ht="28" customHeight="1">
      <x:c r="A18" s="34" t="str">
        <x:v>How to use: edit yellow input cells (Qty, Productivity, Role, Other Cost, Complexity, Rush %). All other rates are formula-driven from global assumptions and role costs.</x:v>
      </x:c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</x:row>
  </x:sheetData>
  <x:mergeCells>
    <x:mergeCell ref="A1:U1"/>
    <x:mergeCell ref="A2:U2"/>
    <x:mergeCell ref="A16:T16"/>
    <x:mergeCell ref="A18:U18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{F9298D94-98DC-092E-287C-1DDDF2BB0057}</x14:id>
        </x:ext>
      </x:extLst>
    </x:cfRule>
  </x:conditionalFormatting>
  <x:dataValidations count="2">
    <x:dataValidation type="list" sqref="I5:I14">
      <x:formula1>"Simple,Standard,Medium,Complex"</x:formula1>
    </x:dataValidation>
    <x:dataValidation type="list" sqref="E5:E14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9298D94-98DC-092E-287C-1DDDF2BB0057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POI &amp; Point Address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Pricing for discovery, verification, refresh and quality of POI / address datasets.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POI discovery — desk research</x:v>
      </x:c>
      <x:c r="B5" s="42" t="str">
        <x:v>POI</x:v>
      </x:c>
      <x:c r="C5" s="62" t="n">
        <x:v>5000</x:v>
      </x:c>
      <x:c r="D5" s="62" t="n">
        <x:v>12</x:v>
      </x:c>
      <x:c r="E5" s="63" t="str">
        <x:v>POI/Address Analyst</x:v>
      </x:c>
      <x:c r="F5" s="64" t="n">
        <x:f>IFERROR(VLOOKUP(E5,Role_Rates!$A$5:$H$25,6,FALSE),0)</x:f>
        <x:v>7.00625</x:v>
      </x:c>
      <x:c r="G5" s="64" t="n">
        <x:f>IFERROR(F5/D5,0)</x:f>
        <x:v>0.5838541666666667</x:v>
      </x:c>
      <x:c r="H5" s="65" t="n">
        <x:v>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0.7765260416666667</x:v>
      </x:c>
      <x:c r="P5" s="66" t="n">
        <x:f>Assumptions!$B$6</x:f>
        <x:v>0.35</x:v>
      </x:c>
      <x:c r="Q5" s="64" t="n">
        <x:f>IFERROR(O5/(1-P5),0)</x:f>
        <x:v>1.1946554487179488</x:v>
      </x:c>
      <x:c r="R5" s="66" t="n">
        <x:f>IFERROR(VLOOKUP(C5,Assumptions!$G$5:$H$9,2,TRUE),0)</x:f>
        <x:v>0.08</x:v>
      </x:c>
      <x:c r="S5" s="67" t="n">
        <x:v>0</x:v>
      </x:c>
      <x:c r="T5" s="64" t="n">
        <x:f>Q5*(1-R5)*(1+S5)</x:f>
        <x:v>1.099083012820513</x:v>
      </x:c>
      <x:c r="U5" s="64" t="n">
        <x:f>C5*T5</x:f>
        <x:v>5495.415064102564</x:v>
      </x:c>
    </x:row>
    <x:row r="6">
      <x:c r="A6" s="42" t="str">
        <x:v>POI verification — web/phone evidence</x:v>
      </x:c>
      <x:c r="B6" s="42" t="str">
        <x:v>POI</x:v>
      </x:c>
      <x:c r="C6" s="62" t="n">
        <x:v>3000</x:v>
      </x:c>
      <x:c r="D6" s="62" t="n">
        <x:v>8</x:v>
      </x:c>
      <x:c r="E6" s="63" t="str">
        <x:v>POI/Address Analyst</x:v>
      </x:c>
      <x:c r="F6" s="64" t="n">
        <x:f>IFERROR(VLOOKUP(E6,Role_Rates!$A$5:$H$25,6,FALSE),0)</x:f>
        <x:v>7.00625</x:v>
      </x:c>
      <x:c r="G6" s="64" t="n">
        <x:f>IFERROR(F6/D6,0)</x:f>
        <x:v>0.87578125</x:v>
      </x:c>
      <x:c r="H6" s="65" t="n">
        <x:v>0</x:v>
      </x:c>
      <x:c r="I6" s="63" t="str">
        <x:v>Medium</x:v>
      </x:c>
      <x:c r="J6" s="42" t="n">
        <x:f>IFERROR(VLOOKUP(I6,Assumptions!$D$5:$E$8,2,FALSE),1)</x:f>
        <x:v>1.25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1.455986328125</x:v>
      </x:c>
      <x:c r="P6" s="66" t="n">
        <x:f>Assumptions!$B$6</x:f>
        <x:v>0.35</x:v>
      </x:c>
      <x:c r="Q6" s="64" t="n">
        <x:f>IFERROR(O6/(1-P6),0)</x:f>
        <x:v>2.239978966346154</x:v>
      </x:c>
      <x:c r="R6" s="66" t="n">
        <x:f>IFERROR(VLOOKUP(C6,Assumptions!$G$5:$H$9,2,TRUE),0)</x:f>
        <x:v>0.05</x:v>
      </x:c>
      <x:c r="S6" s="67" t="n">
        <x:v>0</x:v>
      </x:c>
      <x:c r="T6" s="64" t="n">
        <x:f>Q6*(1-R6)*(1+S6)</x:f>
        <x:v>2.1279800180288464</x:v>
      </x:c>
      <x:c r="U6" s="64" t="n">
        <x:f>C6*T6</x:f>
        <x:v>6383.940054086539</x:v>
      </x:c>
    </x:row>
    <x:row r="7">
      <x:c r="A7" s="42" t="str">
        <x:v>POI category / brand normalization</x:v>
      </x:c>
      <x:c r="B7" s="42" t="str">
        <x:v>POI</x:v>
      </x:c>
      <x:c r="C7" s="62" t="n">
        <x:v>5000</x:v>
      </x:c>
      <x:c r="D7" s="62" t="n">
        <x:v>25</x:v>
      </x:c>
      <x:c r="E7" s="63" t="str">
        <x:v>POI/Address Analyst</x:v>
      </x:c>
      <x:c r="F7" s="64" t="n">
        <x:f>IFERROR(VLOOKUP(E7,Role_Rates!$A$5:$H$25,6,FALSE),0)</x:f>
        <x:v>7.00625</x:v>
      </x:c>
      <x:c r="G7" s="64" t="n">
        <x:f>IFERROR(F7/D7,0)</x:f>
        <x:v>0.28025</x:v>
      </x:c>
      <x:c r="H7" s="65" t="n">
        <x:v>0</x:v>
      </x:c>
      <x:c r="I7" s="63" t="str">
        <x:v>Simple</x:v>
      </x:c>
      <x:c r="J7" s="42" t="n">
        <x:f>IFERROR(VLOOKUP(I7,Assumptions!$D$5:$E$8,2,FALSE),1)</x:f>
        <x:v>0.85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0.316822625</x:v>
      </x:c>
      <x:c r="P7" s="66" t="n">
        <x:f>Assumptions!$B$6</x:f>
        <x:v>0.35</x:v>
      </x:c>
      <x:c r="Q7" s="64" t="n">
        <x:f>IFERROR(O7/(1-P7),0)</x:f>
        <x:v>0.4874194230769231</x:v>
      </x:c>
      <x:c r="R7" s="66" t="n">
        <x:f>IFERROR(VLOOKUP(C7,Assumptions!$G$5:$H$9,2,TRUE),0)</x:f>
        <x:v>0.08</x:v>
      </x:c>
      <x:c r="S7" s="67" t="n">
        <x:v>0</x:v>
      </x:c>
      <x:c r="T7" s="64" t="n">
        <x:f>Q7*(1-R7)*(1+S7)</x:f>
        <x:v>0.44842586923076927</x:v>
      </x:c>
      <x:c r="U7" s="64" t="n">
        <x:f>C7*T7</x:f>
        <x:v>2242.129346153846</x:v>
      </x:c>
    </x:row>
    <x:row r="8">
      <x:c r="A8" s="42" t="str">
        <x:v>Point address creation</x:v>
      </x:c>
      <x:c r="B8" s="42" t="str">
        <x:v>address</x:v>
      </x:c>
      <x:c r="C8" s="62" t="n">
        <x:v>5000</x:v>
      </x:c>
      <x:c r="D8" s="62" t="n">
        <x:v>18</x:v>
      </x:c>
      <x:c r="E8" s="63" t="str">
        <x:v>POI/Address Analyst</x:v>
      </x:c>
      <x:c r="F8" s="64" t="n">
        <x:f>IFERROR(VLOOKUP(E8,Role_Rates!$A$5:$H$25,6,FALSE),0)</x:f>
        <x:v>7.00625</x:v>
      </x:c>
      <x:c r="G8" s="64" t="n">
        <x:f>IFERROR(F8/D8,0)</x:f>
        <x:v>0.3892361111111111</x:v>
      </x:c>
      <x:c r="H8" s="65" t="n">
        <x:v>0</x:v>
      </x:c>
      <x:c r="I8" s="63" t="str">
        <x:v>Standard</x:v>
      </x:c>
      <x:c r="J8" s="42" t="n">
        <x:f>IFERROR(VLOOKUP(I8,Assumptions!$D$5:$E$8,2,FALSE),1)</x:f>
        <x:v>1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0.5176840277777778</x:v>
      </x:c>
      <x:c r="P8" s="66" t="n">
        <x:f>Assumptions!$B$6</x:f>
        <x:v>0.35</x:v>
      </x:c>
      <x:c r="Q8" s="64" t="n">
        <x:f>IFERROR(O8/(1-P8),0)</x:f>
        <x:v>0.7964369658119658</x:v>
      </x:c>
      <x:c r="R8" s="66" t="n">
        <x:f>IFERROR(VLOOKUP(C8,Assumptions!$G$5:$H$9,2,TRUE),0)</x:f>
        <x:v>0.08</x:v>
      </x:c>
      <x:c r="S8" s="67" t="n">
        <x:v>0</x:v>
      </x:c>
      <x:c r="T8" s="64" t="n">
        <x:f>Q8*(1-R8)*(1+S8)</x:f>
        <x:v>0.7327220085470085</x:v>
      </x:c>
      <x:c r="U8" s="64" t="n">
        <x:f>C8*T8</x:f>
        <x:v>3663.6100427350425</x:v>
      </x:c>
    </x:row>
    <x:row r="9">
      <x:c r="A9" s="42" t="str">
        <x:v>Address validation / correction</x:v>
      </x:c>
      <x:c r="B9" s="42" t="str">
        <x:v>address</x:v>
      </x:c>
      <x:c r="C9" s="62" t="n">
        <x:v>5000</x:v>
      </x:c>
      <x:c r="D9" s="62" t="n">
        <x:v>20</x:v>
      </x:c>
      <x:c r="E9" s="63" t="str">
        <x:v>POI/Address Analyst</x:v>
      </x:c>
      <x:c r="F9" s="64" t="n">
        <x:f>IFERROR(VLOOKUP(E9,Role_Rates!$A$5:$H$25,6,FALSE),0)</x:f>
        <x:v>7.00625</x:v>
      </x:c>
      <x:c r="G9" s="64" t="n">
        <x:f>IFERROR(F9/D9,0)</x:f>
        <x:v>0.35031249999999997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0.465915625</x:v>
      </x:c>
      <x:c r="P9" s="66" t="n">
        <x:f>Assumptions!$B$6</x:f>
        <x:v>0.35</x:v>
      </x:c>
      <x:c r="Q9" s="64" t="n">
        <x:f>IFERROR(O9/(1-P9),0)</x:f>
        <x:v>0.7167932692307692</x:v>
      </x:c>
      <x:c r="R9" s="66" t="n">
        <x:f>IFERROR(VLOOKUP(C9,Assumptions!$G$5:$H$9,2,TRUE),0)</x:f>
        <x:v>0.08</x:v>
      </x:c>
      <x:c r="S9" s="67" t="n">
        <x:v>0</x:v>
      </x:c>
      <x:c r="T9" s="64" t="n">
        <x:f>Q9*(1-R9)*(1+S9)</x:f>
        <x:v>0.6594498076923078</x:v>
      </x:c>
      <x:c r="U9" s="64" t="n">
        <x:f>C9*T9</x:f>
        <x:v>3297.249038461539</x:v>
      </x:c>
    </x:row>
    <x:row r="10">
      <x:c r="A10" s="42" t="str">
        <x:v>Rooftop / entrance point adjustment</x:v>
      </x:c>
      <x:c r="B10" s="42" t="str">
        <x:v>address</x:v>
      </x:c>
      <x:c r="C10" s="62" t="n">
        <x:v>2500</x:v>
      </x:c>
      <x:c r="D10" s="62" t="n">
        <x:v>15</x:v>
      </x:c>
      <x:c r="E10" s="63" t="str">
        <x:v>GIS Analyst</x:v>
      </x:c>
      <x:c r="F10" s="64" t="n">
        <x:f>IFERROR(VLOOKUP(E10,Role_Rates!$A$5:$H$25,6,FALSE),0)</x:f>
        <x:v>6.637499999999999</x:v>
      </x:c>
      <x:c r="G10" s="64" t="n">
        <x:f>IFERROR(F10/D10,0)</x:f>
        <x:v>0.44249999999999995</x:v>
      </x:c>
      <x:c r="H10" s="65" t="n">
        <x:v>0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0.73565625</x:v>
      </x:c>
      <x:c r="P10" s="66" t="n">
        <x:f>Assumptions!$B$6</x:f>
        <x:v>0.35</x:v>
      </x:c>
      <x:c r="Q10" s="64" t="n">
        <x:f>IFERROR(O10/(1-P10),0)</x:f>
        <x:v>1.131778846153846</x:v>
      </x:c>
      <x:c r="R10" s="66" t="n">
        <x:f>IFERROR(VLOOKUP(C10,Assumptions!$G$5:$H$9,2,TRUE),0)</x:f>
        <x:v>0.05</x:v>
      </x:c>
      <x:c r="S10" s="67" t="n">
        <x:v>0</x:v>
      </x:c>
      <x:c r="T10" s="64" t="n">
        <x:f>Q10*(1-R10)*(1+S10)</x:f>
        <x:v>1.0751899038461536</x:v>
      </x:c>
      <x:c r="U10" s="64" t="n">
        <x:f>C10*T10</x:f>
        <x:v>2687.9747596153843</x:v>
      </x:c>
    </x:row>
    <x:row r="11">
      <x:c r="A11" s="42" t="str">
        <x:v>Duplicate / closure review</x:v>
      </x:c>
      <x:c r="B11" s="42" t="str">
        <x:v>record</x:v>
      </x:c>
      <x:c r="C11" s="62" t="n">
        <x:v>1000</x:v>
      </x:c>
      <x:c r="D11" s="62" t="n">
        <x:v>25</x:v>
      </x:c>
      <x:c r="E11" s="63" t="str">
        <x:v>POI/Address Analyst</x:v>
      </x:c>
      <x:c r="F11" s="64" t="n">
        <x:f>IFERROR(VLOOKUP(E11,Role_Rates!$A$5:$H$25,6,FALSE),0)</x:f>
        <x:v>7.00625</x:v>
      </x:c>
      <x:c r="G11" s="64" t="n">
        <x:f>IFERROR(F11/D11,0)</x:f>
        <x:v>0.28025</x:v>
      </x:c>
      <x:c r="H11" s="65" t="n">
        <x:v>0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0.3727325</x:v>
      </x:c>
      <x:c r="P11" s="66" t="n">
        <x:f>Assumptions!$B$6</x:f>
        <x:v>0.35</x:v>
      </x:c>
      <x:c r="Q11" s="64" t="n">
        <x:f>IFERROR(O11/(1-P11),0)</x:f>
        <x:v>0.5734346153846154</x:v>
      </x:c>
      <x:c r="R11" s="66" t="n">
        <x:f>IFERROR(VLOOKUP(C11,Assumptions!$G$5:$H$9,2,TRUE),0)</x:f>
        <x:v>0.03</x:v>
      </x:c>
      <x:c r="S11" s="67" t="n">
        <x:v>0</x:v>
      </x:c>
      <x:c r="T11" s="64" t="n">
        <x:f>Q11*(1-R11)*(1+S11)</x:f>
        <x:v>0.5562315769230769</x:v>
      </x:c>
      <x:c r="U11" s="64" t="n">
        <x:f>C11*T11</x:f>
        <x:v>556.2315769230769</x:v>
      </x:c>
    </x:row>
    <x:row r="12">
      <x:c r="A12" s="42" t="str">
        <x:v>Market refresh cycle</x:v>
      </x:c>
      <x:c r="B12" s="42" t="str">
        <x:v>1,000 records</x:v>
      </x:c>
      <x:c r="C12" s="62" t="n">
        <x:v>10</x:v>
      </x:c>
      <x:c r="D12" s="62" t="n">
        <x:v>0.08</x:v>
      </x:c>
      <x:c r="E12" s="63" t="str">
        <x:v>POI/Address Analyst</x:v>
      </x:c>
      <x:c r="F12" s="64" t="n">
        <x:f>IFERROR(VLOOKUP(E12,Role_Rates!$A$5:$H$25,6,FALSE),0)</x:f>
        <x:v>7.00625</x:v>
      </x:c>
      <x:c r="G12" s="64" t="n">
        <x:f>IFERROR(F12/D12,0)</x:f>
        <x:v>87.578125</x:v>
      </x:c>
      <x:c r="H12" s="65" t="n">
        <x:v>0</x:v>
      </x:c>
      <x:c r="I12" s="63" t="str">
        <x:v>Medium</x:v>
      </x:c>
      <x:c r="J12" s="42" t="n">
        <x:f>IFERROR(VLOOKUP(I12,Assumptions!$D$5:$E$8,2,FALSE),1)</x:f>
        <x:v>1.25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145.5986328125</x:v>
      </x:c>
      <x:c r="P12" s="66" t="n">
        <x:f>Assumptions!$B$6</x:f>
        <x:v>0.35</x:v>
      </x:c>
      <x:c r="Q12" s="64" t="n">
        <x:f>IFERROR(O12/(1-P12),0)</x:f>
        <x:v>223.9978966346154</x:v>
      </x:c>
      <x:c r="R12" s="66" t="n">
        <x:f>IFERROR(VLOOKUP(C12,Assumptions!$G$5:$H$9,2,TRUE),0)</x:f>
        <x:v>0</x:v>
      </x:c>
      <x:c r="S12" s="67" t="n">
        <x:v>0</x:v>
      </x:c>
      <x:c r="T12" s="64" t="n">
        <x:f>Q12*(1-R12)*(1+S12)</x:f>
        <x:v>223.9978966346154</x:v>
      </x:c>
      <x:c r="U12" s="64" t="n">
        <x:f>C12*T12</x:f>
        <x:v>2239.978966346154</x:v>
      </x:c>
    </x:row>
    <x:row r="14">
      <x:c r="A14" s="45" t="str">
        <x:v>Calculated Project Sell Value</x:v>
      </x:c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50" t="n">
        <x:f>MAX(SUM(U5:U12),Assumptions!$B$14)</x:f>
        <x:v>26566.528848424143</x:v>
      </x:c>
    </x:row>
    <x:row r="16" ht="28" customHeight="1">
      <x:c r="A16" s="34" t="str">
        <x:v>How to use: edit yellow input cells (Qty, Productivity, Role, Other Cost, Complexity, Rush %). All other rates are formula-driven from global assumptions and role costs.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</x:row>
  </x:sheetData>
  <x:mergeCells>
    <x:mergeCell ref="A1:U1"/>
    <x:mergeCell ref="A2:U2"/>
    <x:mergeCell ref="A14:T14"/>
    <x:mergeCell ref="A16:U16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{CBBF3FD6-894D-BB03-0115-DD729909945F}</x14:id>
        </x:ext>
      </x:extLst>
    </x:cfRule>
  </x:conditionalFormatting>
  <x:dataValidations count="2">
    <x:dataValidation type="list" sqref="I5:I12">
      <x:formula1>"Simple,Standard,Medium,Complex"</x:formula1>
    </x:dataValidation>
    <x:dataValidation type="list" sqref="E5:E12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BBF3FD6-894D-BB03-0115-DD729909945F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Street-Level Imagery — Capture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Field capture pricing for navigation/street-view imagery programs.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Vehicle imagery capture</x:v>
      </x:c>
      <x:c r="B5" s="42" t="str">
        <x:v>road-km</x:v>
      </x:c>
      <x:c r="C5" s="62" t="n">
        <x:v>2000</x:v>
      </x:c>
      <x:c r="D5" s="62" t="n">
        <x:v>8</x:v>
      </x:c>
      <x:c r="E5" s="63" t="str">
        <x:v>Field Crew Lead</x:v>
      </x:c>
      <x:c r="F5" s="64" t="n">
        <x:f>IFERROR(VLOOKUP(E5,Role_Rates!$A$5:$H$25,6,FALSE),0)</x:f>
        <x:v>30.974999999999998</x:v>
      </x:c>
      <x:c r="G5" s="64" t="n">
        <x:f>IFERROR(F5/D5,0)</x:f>
        <x:v>3.8718749999999997</x:v>
      </x:c>
      <x:c r="H5" s="65" t="n">
        <x:v>0.25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5.48209375</x:v>
      </x:c>
      <x:c r="P5" s="66" t="n">
        <x:f>Assumptions!$B$6</x:f>
        <x:v>0.35</x:v>
      </x:c>
      <x:c r="Q5" s="64" t="n">
        <x:f>IFERROR(O5/(1-P5),0)</x:f>
        <x:v>8.433990384615385</x:v>
      </x:c>
      <x:c r="R5" s="66" t="n">
        <x:f>IFERROR(VLOOKUP(C5,Assumptions!$G$5:$H$9,2,TRUE),0)</x:f>
        <x:v>0.05</x:v>
      </x:c>
      <x:c r="S5" s="67" t="n">
        <x:v>0</x:v>
      </x:c>
      <x:c r="T5" s="64" t="n">
        <x:f>Q5*(1-R5)*(1+S5)</x:f>
        <x:v>8.012290865384616</x:v>
      </x:c>
      <x:c r="U5" s="64" t="n">
        <x:f>C5*T5</x:f>
        <x:v>16024.58173076923</x:v>
      </x:c>
    </x:row>
    <x:row r="6">
      <x:c r="A6" s="42" t="str">
        <x:v>Priority / complex road capture</x:v>
      </x:c>
      <x:c r="B6" s="42" t="str">
        <x:v>road-km</x:v>
      </x:c>
      <x:c r="C6" s="62" t="n">
        <x:v>300</x:v>
      </x:c>
      <x:c r="D6" s="62" t="n">
        <x:v>5</x:v>
      </x:c>
      <x:c r="E6" s="63" t="str">
        <x:v>Field Crew Lead</x:v>
      </x:c>
      <x:c r="F6" s="64" t="n">
        <x:f>IFERROR(VLOOKUP(E6,Role_Rates!$A$5:$H$25,6,FALSE),0)</x:f>
        <x:v>30.974999999999998</x:v>
      </x:c>
      <x:c r="G6" s="64" t="n">
        <x:f>IFERROR(F6/D6,0)</x:f>
        <x:v>6.194999999999999</x:v>
      </x:c>
      <x:c r="H6" s="65" t="n">
        <x:v>0.35</x:v>
      </x:c>
      <x:c r="I6" s="63" t="str">
        <x:v>Medium</x:v>
      </x:c>
      <x:c r="J6" s="42" t="n">
        <x:f>IFERROR(VLOOKUP(I6,Assumptions!$D$5:$E$8,2,FALSE),1)</x:f>
        <x:v>1.25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10.881062499999999</x:v>
      </x:c>
      <x:c r="P6" s="66" t="n">
        <x:f>Assumptions!$B$6</x:f>
        <x:v>0.35</x:v>
      </x:c>
      <x:c r="Q6" s="64" t="n">
        <x:f>IFERROR(O6/(1-P6),0)</x:f>
        <x:v>16.740096153846153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16.740096153846153</x:v>
      </x:c>
      <x:c r="U6" s="64" t="n">
        <x:f>C6*T6</x:f>
        <x:v>5022.028846153846</x:v>
      </x:c>
    </x:row>
    <x:row r="7">
      <x:c r="A7" s="42" t="str">
        <x:v>Unpaved / trail capture</x:v>
      </x:c>
      <x:c r="B7" s="42" t="str">
        <x:v>route-km</x:v>
      </x:c>
      <x:c r="C7" s="62" t="n">
        <x:v>250</x:v>
      </x:c>
      <x:c r="D7" s="62" t="n">
        <x:v>4</x:v>
      </x:c>
      <x:c r="E7" s="63" t="str">
        <x:v>Field Technician</x:v>
      </x:c>
      <x:c r="F7" s="64" t="n">
        <x:f>IFERROR(VLOOKUP(E7,Role_Rates!$A$5:$H$25,6,FALSE),0)</x:f>
        <x:v>20.65</x:v>
      </x:c>
      <x:c r="G7" s="64" t="n">
        <x:f>IFERROR(F7/D7,0)</x:f>
        <x:v>5.1625</x:v>
      </x:c>
      <x:c r="H7" s="65" t="n">
        <x:v>0.3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9.081406249999999</x:v>
      </x:c>
      <x:c r="P7" s="66" t="n">
        <x:f>Assumptions!$B$6</x:f>
        <x:v>0.35</x:v>
      </x:c>
      <x:c r="Q7" s="64" t="n">
        <x:f>IFERROR(O7/(1-P7),0)</x:f>
        <x:v>13.971394230769228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13.971394230769228</x:v>
      </x:c>
      <x:c r="U7" s="64" t="n">
        <x:f>C7*T7</x:f>
        <x:v>3492.848557692307</x:v>
      </x:c>
    </x:row>
    <x:row r="8">
      <x:c r="A8" s="42" t="str">
        <x:v>Capture-day mobilization</x:v>
      </x:c>
      <x:c r="B8" s="42" t="str">
        <x:v>capture-day</x:v>
      </x:c>
      <x:c r="C8" s="62" t="n">
        <x:v>20</x:v>
      </x:c>
      <x:c r="D8" s="62" t="n">
        <x:v>0.125</x:v>
      </x:c>
      <x:c r="E8" s="63" t="str">
        <x:v>Field Crew Lead</x:v>
      </x:c>
      <x:c r="F8" s="64" t="n">
        <x:f>IFERROR(VLOOKUP(E8,Role_Rates!$A$5:$H$25,6,FALSE),0)</x:f>
        <x:v>30.974999999999998</x:v>
      </x:c>
      <x:c r="G8" s="64" t="n">
        <x:f>IFERROR(F8/D8,0)</x:f>
        <x:v>247.79999999999998</x:v>
      </x:c>
      <x:c r="H8" s="65" t="n">
        <x:v>75</x:v>
      </x:c>
      <x:c r="I8" s="63" t="str">
        <x:v>Standard</x:v>
      </x:c>
      <x:c r="J8" s="42" t="n">
        <x:f>IFERROR(VLOOKUP(I8,Assumptions!$D$5:$E$8,2,FALSE),1)</x:f>
        <x:v>1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429.32399999999996</x:v>
      </x:c>
      <x:c r="P8" s="66" t="n">
        <x:f>Assumptions!$B$6</x:f>
        <x:v>0.35</x:v>
      </x:c>
      <x:c r="Q8" s="64" t="n">
        <x:f>IFERROR(O8/(1-P8),0)</x:f>
        <x:v>660.4984615384615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660.4984615384615</x:v>
      </x:c>
      <x:c r="U8" s="64" t="n">
        <x:f>C8*T8</x:f>
        <x:v>13209.96923076923</x:v>
      </x:c>
    </x:row>
    <x:row r="9">
      <x:c r="A9" s="42" t="str">
        <x:v>Re-drive / revisit</x:v>
      </x:c>
      <x:c r="B9" s="42" t="str">
        <x:v>road-km</x:v>
      </x:c>
      <x:c r="C9" s="62" t="n">
        <x:v>100</x:v>
      </x:c>
      <x:c r="D9" s="62" t="n">
        <x:v>6</x:v>
      </x:c>
      <x:c r="E9" s="63" t="str">
        <x:v>Field Crew Lead</x:v>
      </x:c>
      <x:c r="F9" s="64" t="n">
        <x:f>IFERROR(VLOOKUP(E9,Role_Rates!$A$5:$H$25,6,FALSE),0)</x:f>
        <x:v>30.974999999999998</x:v>
      </x:c>
      <x:c r="G9" s="64" t="n">
        <x:f>IFERROR(F9/D9,0)</x:f>
        <x:v>5.1625</x:v>
      </x:c>
      <x:c r="H9" s="65" t="n">
        <x:v>0.3</x:v>
      </x:c>
      <x:c r="I9" s="63" t="str">
        <x:v>Medium</x:v>
      </x:c>
      <x:c r="J9" s="42" t="n">
        <x:f>IFERROR(VLOOKUP(I9,Assumptions!$D$5:$E$8,2,FALSE),1)</x:f>
        <x:v>1.25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9.081406249999999</x:v>
      </x:c>
      <x:c r="P9" s="66" t="n">
        <x:f>Assumptions!$B$6</x:f>
        <x:v>0.35</x:v>
      </x:c>
      <x:c r="Q9" s="64" t="n">
        <x:f>IFERROR(O9/(1-P9),0)</x:f>
        <x:v>13.971394230769228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13.971394230769228</x:v>
      </x:c>
      <x:c r="U9" s="64" t="n">
        <x:f>C9*T9</x:f>
        <x:v>1397.1394230769229</x:v>
      </x:c>
    </x:row>
    <x:row r="10">
      <x:c r="A10" s="42" t="str">
        <x:v>Field POI / asset evidence photo</x:v>
      </x:c>
      <x:c r="B10" s="42" t="str">
        <x:v>feature</x:v>
      </x:c>
      <x:c r="C10" s="62" t="n">
        <x:v>2500</x:v>
      </x:c>
      <x:c r="D10" s="62" t="n">
        <x:v>20</x:v>
      </x:c>
      <x:c r="E10" s="63" t="str">
        <x:v>Field Technician</x:v>
      </x:c>
      <x:c r="F10" s="64" t="n">
        <x:f>IFERROR(VLOOKUP(E10,Role_Rates!$A$5:$H$25,6,FALSE),0)</x:f>
        <x:v>20.65</x:v>
      </x:c>
      <x:c r="G10" s="64" t="n">
        <x:f>IFERROR(F10/D10,0)</x:f>
        <x:v>1.0325</x:v>
      </x:c>
      <x:c r="H10" s="65" t="n">
        <x:v>0.05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1.4397250000000001</x:v>
      </x:c>
      <x:c r="P10" s="66" t="n">
        <x:f>Assumptions!$B$6</x:f>
        <x:v>0.35</x:v>
      </x:c>
      <x:c r="Q10" s="64" t="n">
        <x:f>IFERROR(O10/(1-P10),0)</x:f>
        <x:v>2.2149615384615386</x:v>
      </x:c>
      <x:c r="R10" s="66" t="n">
        <x:f>IFERROR(VLOOKUP(C10,Assumptions!$G$5:$H$9,2,TRUE),0)</x:f>
        <x:v>0.05</x:v>
      </x:c>
      <x:c r="S10" s="67" t="n">
        <x:v>0</x:v>
      </x:c>
      <x:c r="T10" s="64" t="n">
        <x:f>Q10*(1-R10)*(1+S10)</x:f>
        <x:v>2.104213461538462</x:v>
      </x:c>
      <x:c r="U10" s="64" t="n">
        <x:f>C10*T10</x:f>
        <x:v>5260.533653846154</x:v>
      </x:c>
    </x:row>
    <x:row r="11">
      <x:c r="A11" s="42" t="str">
        <x:v>GNSS / route log verification</x:v>
      </x:c>
      <x:c r="B11" s="42" t="str">
        <x:v>road-km</x:v>
      </x:c>
      <x:c r="C11" s="62" t="n">
        <x:v>2000</x:v>
      </x:c>
      <x:c r="D11" s="62" t="n">
        <x:v>20</x:v>
      </x:c>
      <x:c r="E11" s="63" t="str">
        <x:v>Field Technician</x:v>
      </x:c>
      <x:c r="F11" s="64" t="n">
        <x:f>IFERROR(VLOOKUP(E11,Role_Rates!$A$5:$H$25,6,FALSE),0)</x:f>
        <x:v>20.65</x:v>
      </x:c>
      <x:c r="G11" s="64" t="n">
        <x:f>IFERROR(F11/D11,0)</x:f>
        <x:v>1.0325</x:v>
      </x:c>
      <x:c r="H11" s="65" t="n">
        <x:v>0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1.3732250000000001</x:v>
      </x:c>
      <x:c r="P11" s="66" t="n">
        <x:f>Assumptions!$B$6</x:f>
        <x:v>0.35</x:v>
      </x:c>
      <x:c r="Q11" s="64" t="n">
        <x:f>IFERROR(O11/(1-P11),0)</x:f>
        <x:v>2.1126538461538464</x:v>
      </x:c>
      <x:c r="R11" s="66" t="n">
        <x:f>IFERROR(VLOOKUP(C11,Assumptions!$G$5:$H$9,2,TRUE),0)</x:f>
        <x:v>0.05</x:v>
      </x:c>
      <x:c r="S11" s="67" t="n">
        <x:v>0</x:v>
      </x:c>
      <x:c r="T11" s="64" t="n">
        <x:f>Q11*(1-R11)*(1+S11)</x:f>
        <x:v>2.007021153846154</x:v>
      </x:c>
      <x:c r="U11" s="64" t="n">
        <x:f>C11*T11</x:f>
        <x:v>4014.042307692308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48421.14375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{FDC44D90-F1A5-7B18-D0AE-389C20C836DC}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DC44D90-F1A5-7B18-D0AE-389C20C836DC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Street-Level Imagery — Processing &amp; QA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Back-office processing, privacy, geolocation, ingestion and QA for street-level imagery.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Panorama processing / indexing</x:v>
      </x:c>
      <x:c r="B5" s="42" t="str">
        <x:v>panorama</x:v>
      </x:c>
      <x:c r="C5" s="62" t="n">
        <x:v>50000</x:v>
      </x:c>
      <x:c r="D5" s="62" t="n">
        <x:v>60</x:v>
      </x:c>
      <x:c r="E5" s="63" t="str">
        <x:v>Data Operator</x:v>
      </x:c>
      <x:c r="F5" s="64" t="n">
        <x:f>IFERROR(VLOOKUP(E5,Role_Rates!$A$5:$H$25,6,FALSE),0)</x:f>
        <x:v>5.363636363636364</x:v>
      </x:c>
      <x:c r="G5" s="64" t="n">
        <x:f>IFERROR(F5/D5,0)</x:f>
        <x:v>0.0893939393939394</x:v>
      </x:c>
      <x:c r="H5" s="65" t="n">
        <x:v>0.01</x:v>
      </x:c>
      <x:c r="I5" s="63" t="str">
        <x:v>Simple</x:v>
      </x:c>
      <x:c r="J5" s="42" t="n">
        <x:f>IFERROR(VLOOKUP(I5,Assumptions!$D$5:$E$8,2,FALSE),1)</x:f>
        <x:v>0.85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0.11236484848484848</x:v>
      </x:c>
      <x:c r="P5" s="66" t="n">
        <x:f>Assumptions!$B$6</x:f>
        <x:v>0.35</x:v>
      </x:c>
      <x:c r="Q5" s="64" t="n">
        <x:f>IFERROR(O5/(1-P5),0)</x:f>
        <x:v>0.17286899766899766</x:v>
      </x:c>
      <x:c r="R5" s="66" t="n">
        <x:f>IFERROR(VLOOKUP(C5,Assumptions!$G$5:$H$9,2,TRUE),0)</x:f>
        <x:v>0.1</x:v>
      </x:c>
      <x:c r="S5" s="67" t="n">
        <x:v>0</x:v>
      </x:c>
      <x:c r="T5" s="64" t="n">
        <x:f>Q5*(1-R5)*(1+S5)</x:f>
        <x:v>0.1555820979020979</x:v>
      </x:c>
      <x:c r="U5" s="64" t="n">
        <x:f>C5*T5</x:f>
        <x:v>7779.104895104895</x:v>
      </x:c>
    </x:row>
    <x:row r="6">
      <x:c r="A6" s="42" t="str">
        <x:v>Geolocation / heading validation</x:v>
      </x:c>
      <x:c r="B6" s="42" t="str">
        <x:v>panorama</x:v>
      </x:c>
      <x:c r="C6" s="62" t="n">
        <x:v>20000</x:v>
      </x:c>
      <x:c r="D6" s="62" t="n">
        <x:v>35</x:v>
      </x:c>
      <x:c r="E6" s="63" t="str">
        <x:v>GIS Analyst</x:v>
      </x:c>
      <x:c r="F6" s="64" t="n">
        <x:f>IFERROR(VLOOKUP(E6,Role_Rates!$A$5:$H$25,6,FALSE),0)</x:f>
        <x:v>6.637499999999999</x:v>
      </x:c>
      <x:c r="G6" s="64" t="n">
        <x:f>IFERROR(F6/D6,0)</x:f>
        <x:v>0.1896428571428571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0.252225</x:v>
      </x:c>
      <x:c r="P6" s="66" t="n">
        <x:f>Assumptions!$B$6</x:f>
        <x:v>0.35</x:v>
      </x:c>
      <x:c r="Q6" s="64" t="n">
        <x:f>IFERROR(O6/(1-P6),0)</x:f>
        <x:v>0.3880384615384615</x:v>
      </x:c>
      <x:c r="R6" s="66" t="n">
        <x:f>IFERROR(VLOOKUP(C6,Assumptions!$G$5:$H$9,2,TRUE),0)</x:f>
        <x:v>0.1</x:v>
      </x:c>
      <x:c r="S6" s="67" t="n">
        <x:v>0</x:v>
      </x:c>
      <x:c r="T6" s="64" t="n">
        <x:f>Q6*(1-R6)*(1+S6)</x:f>
        <x:v>0.34923461538461537</x:v>
      </x:c>
      <x:c r="U6" s="64" t="n">
        <x:f>C6*T6</x:f>
        <x:v>6984.692307692308</x:v>
      </x:c>
    </x:row>
    <x:row r="7">
      <x:c r="A7" s="42" t="str">
        <x:v>Privacy blur review</x:v>
      </x:c>
      <x:c r="B7" s="42" t="str">
        <x:v>panorama</x:v>
      </x:c>
      <x:c r="C7" s="62" t="n">
        <x:v>50000</x:v>
      </x:c>
      <x:c r="D7" s="62" t="n">
        <x:v>55</x:v>
      </x:c>
      <x:c r="E7" s="63" t="str">
        <x:v>Data Operator</x:v>
      </x:c>
      <x:c r="F7" s="64" t="n">
        <x:f>IFERROR(VLOOKUP(E7,Role_Rates!$A$5:$H$25,6,FALSE),0)</x:f>
        <x:v>5.363636363636364</x:v>
      </x:c>
      <x:c r="G7" s="64" t="n">
        <x:f>IFERROR(F7/D7,0)</x:f>
        <x:v>0.0975206611570248</x:v>
      </x:c>
      <x:c r="H7" s="65" t="n">
        <x:v>0.01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0.143002479338843</x:v>
      </x:c>
      <x:c r="P7" s="66" t="n">
        <x:f>Assumptions!$B$6</x:f>
        <x:v>0.35</x:v>
      </x:c>
      <x:c r="Q7" s="64" t="n">
        <x:f>IFERROR(O7/(1-P7),0)</x:f>
        <x:v>0.22000381436745076</x:v>
      </x:c>
      <x:c r="R7" s="66" t="n">
        <x:f>IFERROR(VLOOKUP(C7,Assumptions!$G$5:$H$9,2,TRUE),0)</x:f>
        <x:v>0.1</x:v>
      </x:c>
      <x:c r="S7" s="67" t="n">
        <x:v>0</x:v>
      </x:c>
      <x:c r="T7" s="64" t="n">
        <x:f>Q7*(1-R7)*(1+S7)</x:f>
        <x:v>0.1980034329307057</x:v>
      </x:c>
      <x:c r="U7" s="64" t="n">
        <x:f>C7*T7</x:f>
        <x:v>9900.171646535284</x:v>
      </x:c>
    </x:row>
    <x:row r="8">
      <x:c r="A8" s="42" t="str">
        <x:v>Road-km imagery QA</x:v>
      </x:c>
      <x:c r="B8" s="42" t="str">
        <x:v>road-km</x:v>
      </x:c>
      <x:c r="C8" s="62" t="n">
        <x:v>2000</x:v>
      </x:c>
      <x:c r="D8" s="62" t="n">
        <x:v>5</x:v>
      </x:c>
      <x:c r="E8" s="63" t="str">
        <x:v>QA Analyst</x:v>
      </x:c>
      <x:c r="F8" s="64" t="n">
        <x:f>IFERROR(VLOOKUP(E8,Role_Rates!$A$5:$H$25,6,FALSE),0)</x:f>
        <x:v>7.375</x:v>
      </x:c>
      <x:c r="G8" s="64" t="n">
        <x:f>IFERROR(F8/D8,0)</x:f>
        <x:v>1.475</x:v>
      </x:c>
      <x:c r="H8" s="65" t="n">
        <x:v>0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2.4521875</x:v>
      </x:c>
      <x:c r="P8" s="66" t="n">
        <x:f>Assumptions!$B$6</x:f>
        <x:v>0.35</x:v>
      </x:c>
      <x:c r="Q8" s="64" t="n">
        <x:f>IFERROR(O8/(1-P8),0)</x:f>
        <x:v>3.7725961538461537</x:v>
      </x:c>
      <x:c r="R8" s="66" t="n">
        <x:f>IFERROR(VLOOKUP(C8,Assumptions!$G$5:$H$9,2,TRUE),0)</x:f>
        <x:v>0.05</x:v>
      </x:c>
      <x:c r="S8" s="67" t="n">
        <x:v>0</x:v>
      </x:c>
      <x:c r="T8" s="64" t="n">
        <x:f>Q8*(1-R8)*(1+S8)</x:f>
        <x:v>3.583966346153846</x:v>
      </x:c>
      <x:c r="U8" s="64" t="n">
        <x:f>C8*T8</x:f>
        <x:v>7167.9326923076915</x:v>
      </x:c>
    </x:row>
    <x:row r="9">
      <x:c r="A9" s="42" t="str">
        <x:v>Image sequence / gap check</x:v>
      </x:c>
      <x:c r="B9" s="42" t="str">
        <x:v>road-km</x:v>
      </x:c>
      <x:c r="C9" s="62" t="n">
        <x:v>2000</x:v>
      </x:c>
      <x:c r="D9" s="62" t="n">
        <x:v>8</x:v>
      </x:c>
      <x:c r="E9" s="63" t="str">
        <x:v>QA Analyst</x:v>
      </x:c>
      <x:c r="F9" s="64" t="n">
        <x:f>IFERROR(VLOOKUP(E9,Role_Rates!$A$5:$H$25,6,FALSE),0)</x:f>
        <x:v>7.375</x:v>
      </x:c>
      <x:c r="G9" s="64" t="n">
        <x:f>IFERROR(F9/D9,0)</x:f>
        <x:v>0.921875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1.22609375</x:v>
      </x:c>
      <x:c r="P9" s="66" t="n">
        <x:f>Assumptions!$B$6</x:f>
        <x:v>0.35</x:v>
      </x:c>
      <x:c r="Q9" s="64" t="n">
        <x:f>IFERROR(O9/(1-P9),0)</x:f>
        <x:v>1.8862980769230768</x:v>
      </x:c>
      <x:c r="R9" s="66" t="n">
        <x:f>IFERROR(VLOOKUP(C9,Assumptions!$G$5:$H$9,2,TRUE),0)</x:f>
        <x:v>0.05</x:v>
      </x:c>
      <x:c r="S9" s="67" t="n">
        <x:v>0</x:v>
      </x:c>
      <x:c r="T9" s="64" t="n">
        <x:f>Q9*(1-R9)*(1+S9)</x:f>
        <x:v>1.791983173076923</x:v>
      </x:c>
      <x:c r="U9" s="64" t="n">
        <x:f>C9*T9</x:f>
        <x:v>3583.9663461538457</x:v>
      </x:c>
    </x:row>
    <x:row r="10">
      <x:c r="A10" s="42" t="str">
        <x:v>Imagery ingestion</x:v>
      </x:c>
      <x:c r="B10" s="42" t="str">
        <x:v>TB</x:v>
      </x:c>
      <x:c r="C10" s="62" t="n">
        <x:v>10</x:v>
      </x:c>
      <x:c r="D10" s="62" t="n">
        <x:v>0.05</x:v>
      </x:c>
      <x:c r="E10" s="63" t="str">
        <x:v>Data Engineer</x:v>
      </x:c>
      <x:c r="F10" s="64" t="n">
        <x:f>IFERROR(VLOOKUP(E10,Role_Rates!$A$5:$H$25,6,FALSE),0)</x:f>
        <x:v>17.306666666666665</x:v>
      </x:c>
      <x:c r="G10" s="64" t="n">
        <x:f>IFERROR(F10/D10,0)</x:f>
        <x:v>346.13333333333327</x:v>
      </x:c>
      <x:c r="H10" s="65" t="n">
        <x:v>12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476.3173333333333</x:v>
      </x:c>
      <x:c r="P10" s="66" t="n">
        <x:f>Assumptions!$B$6</x:f>
        <x:v>0.35</x:v>
      </x:c>
      <x:c r="Q10" s="64" t="n">
        <x:f>IFERROR(O10/(1-P10),0)</x:f>
        <x:v>732.7958974358974</x:v>
      </x:c>
      <x:c r="R10" s="66" t="n">
        <x:f>IFERROR(VLOOKUP(C10,Assumptions!$G$5:$H$9,2,TRUE),0)</x:f>
        <x:v>0</x:v>
      </x:c>
      <x:c r="S10" s="67" t="n">
        <x:v>0</x:v>
      </x:c>
      <x:c r="T10" s="64" t="n">
        <x:f>Q10*(1-R10)*(1+S10)</x:f>
        <x:v>732.7958974358974</x:v>
      </x:c>
      <x:c r="U10" s="64" t="n">
        <x:f>C10*T10</x:f>
        <x:v>7327.958974358973</x:v>
      </x:c>
    </x:row>
    <x:row r="11">
      <x:c r="A11" s="42" t="str">
        <x:v>Metadata / manifest validation</x:v>
      </x:c>
      <x:c r="B11" s="42" t="str">
        <x:v>delivery</x:v>
      </x:c>
      <x:c r="C11" s="62" t="n">
        <x:v>20</x:v>
      </x:c>
      <x:c r="D11" s="62" t="n">
        <x:v>0.2</x:v>
      </x:c>
      <x:c r="E11" s="63" t="str">
        <x:v>Data Engineer</x:v>
      </x:c>
      <x:c r="F11" s="64" t="n">
        <x:f>IFERROR(VLOOKUP(E11,Role_Rates!$A$5:$H$25,6,FALSE),0)</x:f>
        <x:v>17.306666666666665</x:v>
      </x:c>
      <x:c r="G11" s="64" t="n">
        <x:f>IFERROR(F11/D11,0)</x:f>
        <x:v>86.53333333333332</x:v>
      </x:c>
      <x:c r="H11" s="65" t="n">
        <x:v>5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121.73933333333332</x:v>
      </x:c>
      <x:c r="P11" s="66" t="n">
        <x:f>Assumptions!$B$6</x:f>
        <x:v>0.35</x:v>
      </x:c>
      <x:c r="Q11" s="64" t="n">
        <x:f>IFERROR(O11/(1-P11),0)</x:f>
        <x:v>187.29128205128202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187.29128205128202</x:v>
      </x:c>
      <x:c r="U11" s="64" t="n">
        <x:f>C11*T11</x:f>
        <x:v>3745.8256410256404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46489.652503178644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{ACD75C5A-B04C-4839-CA13-542D71BF84F3}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D75C5A-B04C-4839-CA13-542D71BF84F3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Road / Trail Verification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Hybrid per-km and per-feature pricing for field verification of roads, trails, gates, hazards and crossings.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Road / trail field verification</x:v>
      </x:c>
      <x:c r="B5" s="42" t="str">
        <x:v>route-km</x:v>
      </x:c>
      <x:c r="C5" s="62" t="n">
        <x:v>1000</x:v>
      </x:c>
      <x:c r="D5" s="62" t="n">
        <x:v>3</x:v>
      </x:c>
      <x:c r="E5" s="63" t="str">
        <x:v>Field Technician</x:v>
      </x:c>
      <x:c r="F5" s="64" t="n">
        <x:f>IFERROR(VLOOKUP(E5,Role_Rates!$A$5:$H$25,6,FALSE),0)</x:f>
        <x:v>20.65</x:v>
      </x:c>
      <x:c r="G5" s="64" t="n">
        <x:f>IFERROR(F5/D5,0)</x:f>
        <x:v>6.883333333333333</x:v>
      </x:c>
      <x:c r="H5" s="65" t="n">
        <x:v>0.2</x:v>
      </x:c>
      <x:c r="I5" s="63" t="str">
        <x:v>Medium</x:v>
      </x:c>
      <x:c r="J5" s="42" t="n">
        <x:f>IFERROR(VLOOKUP(I5,Assumptions!$D$5:$E$8,2,FALSE),1)</x:f>
        <x:v>1.25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11.776041666666666</x:v>
      </x:c>
      <x:c r="P5" s="66" t="n">
        <x:f>Assumptions!$B$6</x:f>
        <x:v>0.35</x:v>
      </x:c>
      <x:c r="Q5" s="64" t="n">
        <x:f>IFERROR(O5/(1-P5),0)</x:f>
        <x:v>18.11698717948718</x:v>
      </x:c>
      <x:c r="R5" s="66" t="n">
        <x:f>IFERROR(VLOOKUP(C5,Assumptions!$G$5:$H$9,2,TRUE),0)</x:f>
        <x:v>0.03</x:v>
      </x:c>
      <x:c r="S5" s="67" t="n">
        <x:v>0</x:v>
      </x:c>
      <x:c r="T5" s="64" t="n">
        <x:f>Q5*(1-R5)*(1+S5)</x:f>
        <x:v>17.573477564102564</x:v>
      </x:c>
      <x:c r="U5" s="64" t="n">
        <x:f>C5*T5</x:f>
        <x:v>17573.477564102563</x:v>
      </x:c>
    </x:row>
    <x:row r="6">
      <x:c r="A6" s="42" t="str">
        <x:v>Gate / barrier verification</x:v>
      </x:c>
      <x:c r="B6" s="42" t="str">
        <x:v>feature</x:v>
      </x:c>
      <x:c r="C6" s="62" t="n">
        <x:v>500</x:v>
      </x:c>
      <x:c r="D6" s="62" t="n">
        <x:v>12</x:v>
      </x:c>
      <x:c r="E6" s="63" t="str">
        <x:v>Field Technician</x:v>
      </x:c>
      <x:c r="F6" s="64" t="n">
        <x:f>IFERROR(VLOOKUP(E6,Role_Rates!$A$5:$H$25,6,FALSE),0)</x:f>
        <x:v>20.65</x:v>
      </x:c>
      <x:c r="G6" s="64" t="n">
        <x:f>IFERROR(F6/D6,0)</x:f>
        <x:v>1.7208333333333332</x:v>
      </x:c>
      <x:c r="H6" s="65" t="n">
        <x:v>0.05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2.3552083333333336</x:v>
      </x:c>
      <x:c r="P6" s="66" t="n">
        <x:f>Assumptions!$B$6</x:f>
        <x:v>0.35</x:v>
      </x:c>
      <x:c r="Q6" s="64" t="n">
        <x:f>IFERROR(O6/(1-P6),0)</x:f>
        <x:v>3.623397435897436</x:v>
      </x:c>
      <x:c r="R6" s="66" t="n">
        <x:f>IFERROR(VLOOKUP(C6,Assumptions!$G$5:$H$9,2,TRUE),0)</x:f>
        <x:v>0.03</x:v>
      </x:c>
      <x:c r="S6" s="67" t="n">
        <x:v>0</x:v>
      </x:c>
      <x:c r="T6" s="64" t="n">
        <x:f>Q6*(1-R6)*(1+S6)</x:f>
        <x:v>3.514695512820513</x:v>
      </x:c>
      <x:c r="U6" s="64" t="n">
        <x:f>C6*T6</x:f>
        <x:v>1757.3477564102564</x:v>
      </x:c>
    </x:row>
    <x:row r="7">
      <x:c r="A7" s="42" t="str">
        <x:v>Hazard / restriction verification</x:v>
      </x:c>
      <x:c r="B7" s="42" t="str">
        <x:v>feature</x:v>
      </x:c>
      <x:c r="C7" s="62" t="n">
        <x:v>300</x:v>
      </x:c>
      <x:c r="D7" s="62" t="n">
        <x:v>10</x:v>
      </x:c>
      <x:c r="E7" s="63" t="str">
        <x:v>Field Technician</x:v>
      </x:c>
      <x:c r="F7" s="64" t="n">
        <x:f>IFERROR(VLOOKUP(E7,Role_Rates!$A$5:$H$25,6,FALSE),0)</x:f>
        <x:v>20.65</x:v>
      </x:c>
      <x:c r="G7" s="64" t="n">
        <x:f>IFERROR(F7/D7,0)</x:f>
        <x:v>2.065</x:v>
      </x:c>
      <x:c r="H7" s="65" t="n">
        <x:v>0.05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3.5161875</x:v>
      </x:c>
      <x:c r="P7" s="66" t="n">
        <x:f>Assumptions!$B$6</x:f>
        <x:v>0.35</x:v>
      </x:c>
      <x:c r="Q7" s="64" t="n">
        <x:f>IFERROR(O7/(1-P7),0)</x:f>
        <x:v>5.409519230769231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5.409519230769231</x:v>
      </x:c>
      <x:c r="U7" s="64" t="n">
        <x:f>C7*T7</x:f>
        <x:v>1622.8557692307693</x:v>
      </x:c>
    </x:row>
    <x:row r="8">
      <x:c r="A8" s="42" t="str">
        <x:v>Crossing / bridge evidence</x:v>
      </x:c>
      <x:c r="B8" s="42" t="str">
        <x:v>feature</x:v>
      </x:c>
      <x:c r="C8" s="62" t="n">
        <x:v>300</x:v>
      </x:c>
      <x:c r="D8" s="62" t="n">
        <x:v>10</x:v>
      </x:c>
      <x:c r="E8" s="63" t="str">
        <x:v>Field Technician</x:v>
      </x:c>
      <x:c r="F8" s="64" t="n">
        <x:f>IFERROR(VLOOKUP(E8,Role_Rates!$A$5:$H$25,6,FALSE),0)</x:f>
        <x:v>20.65</x:v>
      </x:c>
      <x:c r="G8" s="64" t="n">
        <x:f>IFERROR(F8/D8,0)</x:f>
        <x:v>2.065</x:v>
      </x:c>
      <x:c r="H8" s="65" t="n">
        <x:v>0.05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3.5161875</x:v>
      </x:c>
      <x:c r="P8" s="66" t="n">
        <x:f>Assumptions!$B$6</x:f>
        <x:v>0.35</x:v>
      </x:c>
      <x:c r="Q8" s="64" t="n">
        <x:f>IFERROR(O8/(1-P8),0)</x:f>
        <x:v>5.409519230769231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5.409519230769231</x:v>
      </x:c>
      <x:c r="U8" s="64" t="n">
        <x:f>C8*T8</x:f>
        <x:v>1622.8557692307693</x:v>
      </x:c>
    </x:row>
    <x:row r="9">
      <x:c r="A9" s="42" t="str">
        <x:v>Turnaround / access point</x:v>
      </x:c>
      <x:c r="B9" s="42" t="str">
        <x:v>feature</x:v>
      </x:c>
      <x:c r="C9" s="62" t="n">
        <x:v>200</x:v>
      </x:c>
      <x:c r="D9" s="62" t="n">
        <x:v>12</x:v>
      </x:c>
      <x:c r="E9" s="63" t="str">
        <x:v>Field Technician</x:v>
      </x:c>
      <x:c r="F9" s="64" t="n">
        <x:f>IFERROR(VLOOKUP(E9,Role_Rates!$A$5:$H$25,6,FALSE),0)</x:f>
        <x:v>20.65</x:v>
      </x:c>
      <x:c r="G9" s="64" t="n">
        <x:f>IFERROR(F9/D9,0)</x:f>
        <x:v>1.7208333333333332</x:v>
      </x:c>
      <x:c r="H9" s="65" t="n">
        <x:v>0.05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2.3552083333333336</x:v>
      </x:c>
      <x:c r="P9" s="66" t="n">
        <x:f>Assumptions!$B$6</x:f>
        <x:v>0.35</x:v>
      </x:c>
      <x:c r="Q9" s="64" t="n">
        <x:f>IFERROR(O9/(1-P9),0)</x:f>
        <x:v>3.623397435897436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3.623397435897436</x:v>
      </x:c>
      <x:c r="U9" s="64" t="n">
        <x:f>C9*T9</x:f>
        <x:v>724.6794871794872</x:v>
      </x:c>
    </x:row>
    <x:row r="10">
      <x:c r="A10" s="42" t="str">
        <x:v>Georeferenced photo evidence</x:v>
      </x:c>
      <x:c r="B10" s="42" t="str">
        <x:v>photo</x:v>
      </x:c>
      <x:c r="C10" s="62" t="n">
        <x:v>2500</x:v>
      </x:c>
      <x:c r="D10" s="62" t="n">
        <x:v>25</x:v>
      </x:c>
      <x:c r="E10" s="63" t="str">
        <x:v>Field Technician</x:v>
      </x:c>
      <x:c r="F10" s="64" t="n">
        <x:f>IFERROR(VLOOKUP(E10,Role_Rates!$A$5:$H$25,6,FALSE),0)</x:f>
        <x:v>20.65</x:v>
      </x:c>
      <x:c r="G10" s="64" t="n">
        <x:f>IFERROR(F10/D10,0)</x:f>
        <x:v>0.826</x:v>
      </x:c>
      <x:c r="H10" s="65" t="n">
        <x:v>0.02</x:v>
      </x:c>
      <x:c r="I10" s="63" t="str">
        <x:v>Simple</x:v>
      </x:c>
      <x:c r="J10" s="42" t="n">
        <x:f>IFERROR(VLOOKUP(I10,Assumptions!$D$5:$E$8,2,FALSE),1)</x:f>
        <x:v>0.85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0.956403</x:v>
      </x:c>
      <x:c r="P10" s="66" t="n">
        <x:f>Assumptions!$B$6</x:f>
        <x:v>0.35</x:v>
      </x:c>
      <x:c r="Q10" s="64" t="n">
        <x:f>IFERROR(O10/(1-P10),0)</x:f>
        <x:v>1.4713892307692307</x:v>
      </x:c>
      <x:c r="R10" s="66" t="n">
        <x:f>IFERROR(VLOOKUP(C10,Assumptions!$G$5:$H$9,2,TRUE),0)</x:f>
        <x:v>0.05</x:v>
      </x:c>
      <x:c r="S10" s="67" t="n">
        <x:v>0</x:v>
      </x:c>
      <x:c r="T10" s="64" t="n">
        <x:f>Q10*(1-R10)*(1+S10)</x:f>
        <x:v>1.397819769230769</x:v>
      </x:c>
      <x:c r="U10" s="64" t="n">
        <x:f>C10*T10</x:f>
        <x:v>3494.5494230769227</x:v>
      </x:c>
    </x:row>
    <x:row r="11">
      <x:c r="A11" s="42" t="str">
        <x:v>GIS compilation / monthly delivery</x:v>
      </x:c>
      <x:c r="B11" s="42" t="str">
        <x:v>delivery</x:v>
      </x:c>
      <x:c r="C11" s="62" t="n">
        <x:v>12</x:v>
      </x:c>
      <x:c r="D11" s="62" t="n">
        <x:v>0.08</x:v>
      </x:c>
      <x:c r="E11" s="63" t="str">
        <x:v>GIS Analyst</x:v>
      </x:c>
      <x:c r="F11" s="64" t="n">
        <x:f>IFERROR(VLOOKUP(E11,Role_Rates!$A$5:$H$25,6,FALSE),0)</x:f>
        <x:v>6.637499999999999</x:v>
      </x:c>
      <x:c r="G11" s="64" t="n">
        <x:f>IFERROR(F11/D11,0)</x:f>
        <x:v>82.96874999999999</x:v>
      </x:c>
      <x:c r="H11" s="65" t="n">
        <x:v>0</x:v>
      </x:c>
      <x:c r="I11" s="63" t="str">
        <x:v>Medium</x:v>
      </x:c>
      <x:c r="J11" s="42" t="n">
        <x:f>IFERROR(VLOOKUP(I11,Assumptions!$D$5:$E$8,2,FALSE),1)</x:f>
        <x:v>1.25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137.935546875</x:v>
      </x:c>
      <x:c r="P11" s="66" t="n">
        <x:f>Assumptions!$B$6</x:f>
        <x:v>0.35</x:v>
      </x:c>
      <x:c r="Q11" s="64" t="n">
        <x:f>IFERROR(O11/(1-P11),0)</x:f>
        <x:v>212.20853365384616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212.20853365384616</x:v>
      </x:c>
      <x:c r="U11" s="64" t="n">
        <x:f>C11*T11</x:f>
        <x:v>2546.502403846154</x:v>
      </x:c>
    </x:row>
    <x:row r="12">
      <x:c r="A12" s="42" t="str">
        <x:v>Field QA audit</x:v>
      </x:c>
      <x:c r="B12" s="42" t="str">
        <x:v>route-km</x:v>
      </x:c>
      <x:c r="C12" s="62" t="n">
        <x:v>1000</x:v>
      </x:c>
      <x:c r="D12" s="62" t="n">
        <x:v>10</x:v>
      </x:c>
      <x:c r="E12" s="63" t="str">
        <x:v>QA Analyst</x:v>
      </x:c>
      <x:c r="F12" s="64" t="n">
        <x:f>IFERROR(VLOOKUP(E12,Role_Rates!$A$5:$H$25,6,FALSE),0)</x:f>
        <x:v>7.375</x:v>
      </x:c>
      <x:c r="G12" s="64" t="n">
        <x:f>IFERROR(F12/D12,0)</x:f>
        <x:v>0.7375</x:v>
      </x:c>
      <x:c r="H12" s="65" t="n">
        <x:v>0</x:v>
      </x:c>
      <x:c r="I12" s="63" t="str">
        <x:v>Standard</x:v>
      </x:c>
      <x:c r="J12" s="42" t="n">
        <x:f>IFERROR(VLOOKUP(I12,Assumptions!$D$5:$E$8,2,FALSE),1)</x:f>
        <x:v>1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0.9808750000000002</x:v>
      </x:c>
      <x:c r="P12" s="66" t="n">
        <x:f>Assumptions!$B$6</x:f>
        <x:v>0.35</x:v>
      </x:c>
      <x:c r="Q12" s="64" t="n">
        <x:f>IFERROR(O12/(1-P12),0)</x:f>
        <x:v>1.5090384615384618</x:v>
      </x:c>
      <x:c r="R12" s="66" t="n">
        <x:f>IFERROR(VLOOKUP(C12,Assumptions!$G$5:$H$9,2,TRUE),0)</x:f>
        <x:v>0.03</x:v>
      </x:c>
      <x:c r="S12" s="67" t="n">
        <x:v>0</x:v>
      </x:c>
      <x:c r="T12" s="64" t="n">
        <x:f>Q12*(1-R12)*(1+S12)</x:f>
        <x:v>1.463767307692308</x:v>
      </x:c>
      <x:c r="U12" s="64" t="n">
        <x:f>C12*T12</x:f>
        <x:v>1463.767307692308</x:v>
      </x:c>
    </x:row>
    <x:row r="14">
      <x:c r="A14" s="45" t="str">
        <x:v>Calculated Project Sell Value</x:v>
      </x:c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50" t="n">
        <x:f>MAX(SUM(U5:U12),Assumptions!$B$14)</x:f>
        <x:v>30806.03548076923</x:v>
      </x:c>
    </x:row>
    <x:row r="16" ht="28" customHeight="1">
      <x:c r="A16" s="34" t="str">
        <x:v>How to use: edit yellow input cells (Qty, Productivity, Role, Other Cost, Complexity, Rush %). All other rates are formula-driven from global assumptions and role costs.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</x:row>
  </x:sheetData>
  <x:mergeCells>
    <x:mergeCell ref="A1:U1"/>
    <x:mergeCell ref="A2:U2"/>
    <x:mergeCell ref="A14:T14"/>
    <x:mergeCell ref="A16:U16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{C1C89164-8A02-30C9-4CF2-F093BAB63710}</x14:id>
        </x:ext>
      </x:extLst>
    </x:cfRule>
  </x:conditionalFormatting>
  <x:dataValidations count="2">
    <x:dataValidation type="list" sqref="I5:I12">
      <x:formula1>"Simple,Standard,Medium,Complex"</x:formula1>
    </x:dataValidation>
    <x:dataValidation type="list" sqref="E5:E12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1C89164-8A02-30C9-4CF2-F093BAB63710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Imagery / Data Ingestion Operations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Use for large imagery/LiDAR deliveries, disks, staging, validation and controlled ingestion.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Data receipt / disk intake</x:v>
      </x:c>
      <x:c r="B5" s="42" t="str">
        <x:v>disk</x:v>
      </x:c>
      <x:c r="C5" s="62" t="n">
        <x:v>1000</x:v>
      </x:c>
      <x:c r="D5" s="62" t="n">
        <x:v>4</x:v>
      </x:c>
      <x:c r="E5" s="63" t="str">
        <x:v>Data Operator</x:v>
      </x:c>
      <x:c r="F5" s="64" t="n">
        <x:f>IFERROR(VLOOKUP(E5,Role_Rates!$A$5:$H$25,6,FALSE),0)</x:f>
        <x:v>5.363636363636364</x:v>
      </x:c>
      <x:c r="G5" s="64" t="n">
        <x:f>IFERROR(F5/D5,0)</x:f>
        <x:v>1.340909090909091</x:v>
      </x:c>
      <x:c r="H5" s="65" t="n">
        <x:v>0.25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2.115909090909091</x:v>
      </x:c>
      <x:c r="P5" s="66" t="n">
        <x:f>Assumptions!$B$6</x:f>
        <x:v>0.35</x:v>
      </x:c>
      <x:c r="Q5" s="64" t="n">
        <x:f>IFERROR(O5/(1-P5),0)</x:f>
        <x:v>3.2552447552447554</x:v>
      </x:c>
      <x:c r="R5" s="66" t="n">
        <x:f>IFERROR(VLOOKUP(C5,Assumptions!$G$5:$H$9,2,TRUE),0)</x:f>
        <x:v>0.03</x:v>
      </x:c>
      <x:c r="S5" s="67" t="n">
        <x:v>0</x:v>
      </x:c>
      <x:c r="T5" s="64" t="n">
        <x:f>Q5*(1-R5)*(1+S5)</x:f>
        <x:v>3.1575874125874126</x:v>
      </x:c>
      <x:c r="U5" s="64" t="n">
        <x:f>C5*T5</x:f>
        <x:v>3157.5874125874125</x:v>
      </x:c>
    </x:row>
    <x:row r="6">
      <x:c r="A6" s="42" t="str">
        <x:v>Checksum / manifest validation</x:v>
      </x:c>
      <x:c r="B6" s="42" t="str">
        <x:v>TB</x:v>
      </x:c>
      <x:c r="C6" s="62" t="n">
        <x:v>200</x:v>
      </x:c>
      <x:c r="D6" s="62" t="n">
        <x:v>0.4</x:v>
      </x:c>
      <x:c r="E6" s="63" t="str">
        <x:v>Data Operator</x:v>
      </x:c>
      <x:c r="F6" s="64" t="n">
        <x:f>IFERROR(VLOOKUP(E6,Role_Rates!$A$5:$H$25,6,FALSE),0)</x:f>
        <x:v>5.363636363636364</x:v>
      </x:c>
      <x:c r="G6" s="64" t="n">
        <x:f>IFERROR(F6/D6,0)</x:f>
        <x:v>13.40909090909091</x:v>
      </x:c>
      <x:c r="H6" s="65" t="n">
        <x:v>1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19.164090909090913</x:v>
      </x:c>
      <x:c r="P6" s="66" t="n">
        <x:f>Assumptions!$B$6</x:f>
        <x:v>0.35</x:v>
      </x:c>
      <x:c r="Q6" s="64" t="n">
        <x:f>IFERROR(O6/(1-P6),0)</x:f>
        <x:v>29.483216783216786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29.483216783216786</x:v>
      </x:c>
      <x:c r="U6" s="64" t="n">
        <x:f>C6*T6</x:f>
        <x:v>5896.643356643357</x:v>
      </x:c>
    </x:row>
    <x:row r="7">
      <x:c r="A7" s="42" t="str">
        <x:v>Staging / secure copy</x:v>
      </x:c>
      <x:c r="B7" s="42" t="str">
        <x:v>TB</x:v>
      </x:c>
      <x:c r="C7" s="62" t="n">
        <x:v>200</x:v>
      </x:c>
      <x:c r="D7" s="62" t="n">
        <x:v>0.2</x:v>
      </x:c>
      <x:c r="E7" s="63" t="str">
        <x:v>Data Engineer</x:v>
      </x:c>
      <x:c r="F7" s="64" t="n">
        <x:f>IFERROR(VLOOKUP(E7,Role_Rates!$A$5:$H$25,6,FALSE),0)</x:f>
        <x:v>17.306666666666665</x:v>
      </x:c>
      <x:c r="G7" s="64" t="n">
        <x:f>IFERROR(F7/D7,0)</x:f>
        <x:v>86.53333333333332</x:v>
      </x:c>
      <x:c r="H7" s="65" t="n">
        <x:v>4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120.40933333333332</x:v>
      </x:c>
      <x:c r="P7" s="66" t="n">
        <x:f>Assumptions!$B$6</x:f>
        <x:v>0.35</x:v>
      </x:c>
      <x:c r="Q7" s="64" t="n">
        <x:f>IFERROR(O7/(1-P7),0)</x:f>
        <x:v>185.24512820512817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185.24512820512817</x:v>
      </x:c>
      <x:c r="U7" s="64" t="n">
        <x:f>C7*T7</x:f>
        <x:v>37049.02564102563</x:v>
      </x:c>
    </x:row>
    <x:row r="8">
      <x:c r="A8" s="42" t="str">
        <x:v>Metadata cataloging</x:v>
      </x:c>
      <x:c r="B8" s="42" t="str">
        <x:v>TB</x:v>
      </x:c>
      <x:c r="C8" s="62" t="n">
        <x:v>200</x:v>
      </x:c>
      <x:c r="D8" s="62" t="n">
        <x:v>0.25</x:v>
      </x:c>
      <x:c r="E8" s="63" t="str">
        <x:v>Data Engineer</x:v>
      </x:c>
      <x:c r="F8" s="64" t="n">
        <x:f>IFERROR(VLOOKUP(E8,Role_Rates!$A$5:$H$25,6,FALSE),0)</x:f>
        <x:v>17.306666666666665</x:v>
      </x:c>
      <x:c r="G8" s="64" t="n">
        <x:f>IFERROR(F8/D8,0)</x:f>
        <x:v>69.22666666666666</x:v>
      </x:c>
      <x:c r="H8" s="65" t="n">
        <x:v>1</x:v>
      </x:c>
      <x:c r="I8" s="63" t="str">
        <x:v>Standard</x:v>
      </x:c>
      <x:c r="J8" s="42" t="n">
        <x:f>IFERROR(VLOOKUP(I8,Assumptions!$D$5:$E$8,2,FALSE),1)</x:f>
        <x:v>1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93.40146666666666</x:v>
      </x:c>
      <x:c r="P8" s="66" t="n">
        <x:f>Assumptions!$B$6</x:f>
        <x:v>0.35</x:v>
      </x:c>
      <x:c r="Q8" s="64" t="n">
        <x:f>IFERROR(O8/(1-P8),0)</x:f>
        <x:v>143.6945641025641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143.6945641025641</x:v>
      </x:c>
      <x:c r="U8" s="64" t="n">
        <x:f>C8*T8</x:f>
        <x:v>28738.91282051282</x:v>
      </x:c>
    </x:row>
    <x:row r="9">
      <x:c r="A9" s="42" t="str">
        <x:v>Delivery exception handling</x:v>
      </x:c>
      <x:c r="B9" s="42" t="str">
        <x:v>exception</x:v>
      </x:c>
      <x:c r="C9" s="62" t="n">
        <x:v>50</x:v>
      </x:c>
      <x:c r="D9" s="62" t="n">
        <x:v>4</x:v>
      </x:c>
      <x:c r="E9" s="63" t="str">
        <x:v>Data Engineer</x:v>
      </x:c>
      <x:c r="F9" s="64" t="n">
        <x:f>IFERROR(VLOOKUP(E9,Role_Rates!$A$5:$H$25,6,FALSE),0)</x:f>
        <x:v>17.306666666666665</x:v>
      </x:c>
      <x:c r="G9" s="64" t="n">
        <x:f>IFERROR(F9/D9,0)</x:f>
        <x:v>4.326666666666666</x:v>
      </x:c>
      <x:c r="H9" s="65" t="n">
        <x:v>0</x:v>
      </x:c>
      <x:c r="I9" s="63" t="str">
        <x:v>Medium</x:v>
      </x:c>
      <x:c r="J9" s="42" t="n">
        <x:f>IFERROR(VLOOKUP(I9,Assumptions!$D$5:$E$8,2,FALSE),1)</x:f>
        <x:v>1.25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7.193083333333334</x:v>
      </x:c>
      <x:c r="P9" s="66" t="n">
        <x:f>Assumptions!$B$6</x:f>
        <x:v>0.35</x:v>
      </x:c>
      <x:c r="Q9" s="64" t="n">
        <x:f>IFERROR(O9/(1-P9),0)</x:f>
        <x:v>11.066282051282052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11.066282051282052</x:v>
      </x:c>
      <x:c r="U9" s="64" t="n">
        <x:f>C9*T9</x:f>
        <x:v>553.3141025641025</x:v>
      </x:c>
    </x:row>
    <x:row r="10">
      <x:c r="A10" s="42" t="str">
        <x:v>Ingestion center monthly operations</x:v>
      </x:c>
      <x:c r="B10" s="42" t="str">
        <x:v>center-month</x:v>
      </x:c>
      <x:c r="C10" s="62" t="n">
        <x:v>1</x:v>
      </x:c>
      <x:c r="D10" s="62" t="n">
        <x:v>0.00625</x:v>
      </x:c>
      <x:c r="E10" s="63" t="str">
        <x:v>Data Engineer</x:v>
      </x:c>
      <x:c r="F10" s="64" t="n">
        <x:f>IFERROR(VLOOKUP(E10,Role_Rates!$A$5:$H$25,6,FALSE),0)</x:f>
        <x:v>17.306666666666665</x:v>
      </x:c>
      <x:c r="G10" s="64" t="n">
        <x:f>IFERROR(F10/D10,0)</x:f>
        <x:v>2769.066666666666</x:v>
      </x:c>
      <x:c r="H10" s="65" t="n">
        <x:v>250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5019.198333333333</x:v>
      </x:c>
      <x:c r="P10" s="66" t="n">
        <x:f>Assumptions!$B$6</x:f>
        <x:v>0.35</x:v>
      </x:c>
      <x:c r="Q10" s="64" t="n">
        <x:f>IFERROR(O10/(1-P10),0)</x:f>
        <x:v>7721.843589743588</x:v>
      </x:c>
      <x:c r="R10" s="66" t="n">
        <x:f>IFERROR(VLOOKUP(C10,Assumptions!$G$5:$H$9,2,TRUE),0)</x:f>
        <x:v>0</x:v>
      </x:c>
      <x:c r="S10" s="67" t="n">
        <x:v>0</x:v>
      </x:c>
      <x:c r="T10" s="64" t="n">
        <x:f>Q10*(1-R10)*(1+S10)</x:f>
        <x:v>7721.843589743588</x:v>
      </x:c>
      <x:c r="U10" s="64" t="n">
        <x:f>C10*T10</x:f>
        <x:v>7721.843589743588</x:v>
      </x:c>
    </x:row>
    <x:row r="11">
      <x:c r="A11" s="42" t="str">
        <x:v>Customer delivery packaging</x:v>
      </x:c>
      <x:c r="B11" s="42" t="str">
        <x:v>delivery</x:v>
      </x:c>
      <x:c r="C11" s="62" t="n">
        <x:v>20</x:v>
      </x:c>
      <x:c r="D11" s="62" t="n">
        <x:v>0.1</x:v>
      </x:c>
      <x:c r="E11" s="63" t="str">
        <x:v>Data Engineer</x:v>
      </x:c>
      <x:c r="F11" s="64" t="n">
        <x:f>IFERROR(VLOOKUP(E11,Role_Rates!$A$5:$H$25,6,FALSE),0)</x:f>
        <x:v>17.306666666666665</x:v>
      </x:c>
      <x:c r="G11" s="64" t="n">
        <x:f>IFERROR(F11/D11,0)</x:f>
        <x:v>173.06666666666663</x:v>
      </x:c>
      <x:c r="H11" s="65" t="n">
        <x:v>10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243.47866666666664</x:v>
      </x:c>
      <x:c r="P11" s="66" t="n">
        <x:f>Assumptions!$B$6</x:f>
        <x:v>0.35</x:v>
      </x:c>
      <x:c r="Q11" s="64" t="n">
        <x:f>IFERROR(O11/(1-P11),0)</x:f>
        <x:v>374.58256410256405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374.58256410256405</x:v>
      </x:c>
      <x:c r="U11" s="64" t="n">
        <x:f>C11*T11</x:f>
        <x:v>7491.651282051281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90608.97820512821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{B8A40B87-8A37-C27C-107D-CF9461326D7C}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8A40B87-8A37-C27C-107D-CF9461326D7C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LiDAR Processing &amp; Classification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Point-cloud processing priced by sq km, million points, tile or corridor length.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Point cloud ingest / normalize</x:v>
      </x:c>
      <x:c r="B5" s="42" t="str">
        <x:v>billion points</x:v>
      </x:c>
      <x:c r="C5" s="62" t="n">
        <x:v>100</x:v>
      </x:c>
      <x:c r="D5" s="62" t="n">
        <x:v>0.03</x:v>
      </x:c>
      <x:c r="E5" s="63" t="str">
        <x:v>Data Engineer</x:v>
      </x:c>
      <x:c r="F5" s="64" t="n">
        <x:f>IFERROR(VLOOKUP(E5,Role_Rates!$A$5:$H$25,6,FALSE),0)</x:f>
        <x:v>17.306666666666665</x:v>
      </x:c>
      <x:c r="G5" s="64" t="n">
        <x:f>IFERROR(F5/D5,0)</x:f>
        <x:v>576.8888888888888</x:v>
      </x:c>
      <x:c r="H5" s="65" t="n">
        <x:v>2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769.9222222222221</x:v>
      </x:c>
      <x:c r="P5" s="66" t="n">
        <x:f>Assumptions!$B$6</x:f>
        <x:v>0.35</x:v>
      </x:c>
      <x:c r="Q5" s="64" t="n">
        <x:f>IFERROR(O5/(1-P5),0)</x:f>
        <x:v>1184.4957264957263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1184.4957264957263</x:v>
      </x:c>
      <x:c r="U5" s="64" t="n">
        <x:f>C5*T5</x:f>
        <x:v>118449.57264957263</x:v>
      </x:c>
    </x:row>
    <x:row r="6">
      <x:c r="A6" s="42" t="str">
        <x:v>Ground classification</x:v>
      </x:c>
      <x:c r="B6" s="42" t="str">
        <x:v>sq-km</x:v>
      </x:c>
      <x:c r="C6" s="62" t="n">
        <x:v>100</x:v>
      </x:c>
      <x:c r="D6" s="62" t="n">
        <x:v>0.6</x:v>
      </x:c>
      <x:c r="E6" s="63" t="str">
        <x:v>LiDAR Analyst</x:v>
      </x:c>
      <x:c r="F6" s="64" t="n">
        <x:f>IFERROR(VLOOKUP(E6,Role_Rates!$A$5:$H$25,6,FALSE),0)</x:f>
        <x:v>8.85</x:v>
      </x:c>
      <x:c r="G6" s="64" t="n">
        <x:f>IFERROR(F6/D6,0)</x:f>
        <x:v>14.75</x:v>
      </x:c>
      <x:c r="H6" s="65" t="n">
        <x:v>0</x:v>
      </x:c>
      <x:c r="I6" s="63" t="str">
        <x:v>Medium</x:v>
      </x:c>
      <x:c r="J6" s="42" t="n">
        <x:f>IFERROR(VLOOKUP(I6,Assumptions!$D$5:$E$8,2,FALSE),1)</x:f>
        <x:v>1.25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24.521875</x:v>
      </x:c>
      <x:c r="P6" s="66" t="n">
        <x:f>Assumptions!$B$6</x:f>
        <x:v>0.35</x:v>
      </x:c>
      <x:c r="Q6" s="64" t="n">
        <x:f>IFERROR(O6/(1-P6),0)</x:f>
        <x:v>37.72596153846154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37.72596153846154</x:v>
      </x:c>
      <x:c r="U6" s="64" t="n">
        <x:f>C6*T6</x:f>
        <x:v>3772.596153846154</x:v>
      </x:c>
    </x:row>
    <x:row r="7">
      <x:c r="A7" s="42" t="str">
        <x:v>Non-ground classification</x:v>
      </x:c>
      <x:c r="B7" s="42" t="str">
        <x:v>sq-km</x:v>
      </x:c>
      <x:c r="C7" s="62" t="n">
        <x:v>100</x:v>
      </x:c>
      <x:c r="D7" s="62" t="n">
        <x:v>0.4</x:v>
      </x:c>
      <x:c r="E7" s="63" t="str">
        <x:v>LiDAR Analyst</x:v>
      </x:c>
      <x:c r="F7" s="64" t="n">
        <x:f>IFERROR(VLOOKUP(E7,Role_Rates!$A$5:$H$25,6,FALSE),0)</x:f>
        <x:v>8.85</x:v>
      </x:c>
      <x:c r="G7" s="64" t="n">
        <x:f>IFERROR(F7/D7,0)</x:f>
        <x:v>22.124999999999996</x:v>
      </x:c>
      <x:c r="H7" s="65" t="n">
        <x:v>0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36.7828125</x:v>
      </x:c>
      <x:c r="P7" s="66" t="n">
        <x:f>Assumptions!$B$6</x:f>
        <x:v>0.35</x:v>
      </x:c>
      <x:c r="Q7" s="64" t="n">
        <x:f>IFERROR(O7/(1-P7),0)</x:f>
        <x:v>56.58894230769231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56.58894230769231</x:v>
      </x:c>
      <x:c r="U7" s="64" t="n">
        <x:f>C7*T7</x:f>
        <x:v>5658.8942307692305</x:v>
      </x:c>
    </x:row>
    <x:row r="8">
      <x:c r="A8" s="42" t="str">
        <x:v>Manual classification cleanup</x:v>
      </x:c>
      <x:c r="B8" s="42" t="str">
        <x:v>sq-km</x:v>
      </x:c>
      <x:c r="C8" s="62" t="n">
        <x:v>25</x:v>
      </x:c>
      <x:c r="D8" s="62" t="n">
        <x:v>0.15</x:v>
      </x:c>
      <x:c r="E8" s="63" t="str">
        <x:v>LiDAR Analyst</x:v>
      </x:c>
      <x:c r="F8" s="64" t="n">
        <x:f>IFERROR(VLOOKUP(E8,Role_Rates!$A$5:$H$25,6,FALSE),0)</x:f>
        <x:v>8.85</x:v>
      </x:c>
      <x:c r="G8" s="64" t="n">
        <x:f>IFERROR(F8/D8,0)</x:f>
        <x:v>59</x:v>
      </x:c>
      <x:c r="H8" s="65" t="n">
        <x:v>0</x:v>
      </x:c>
      <x:c r="I8" s="63" t="str">
        <x:v>Complex</x:v>
      </x:c>
      <x:c r="J8" s="42" t="n">
        <x:f>IFERROR(VLOOKUP(I8,Assumptions!$D$5:$E$8,2,FALSE),1)</x:f>
        <x:v>1.6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125.55200000000002</x:v>
      </x:c>
      <x:c r="P8" s="66" t="n">
        <x:f>Assumptions!$B$6</x:f>
        <x:v>0.35</x:v>
      </x:c>
      <x:c r="Q8" s="64" t="n">
        <x:f>IFERROR(O8/(1-P8),0)</x:f>
        <x:v>193.1569230769231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193.1569230769231</x:v>
      </x:c>
      <x:c r="U8" s="64" t="n">
        <x:f>C8*T8</x:f>
        <x:v>4828.923076923078</x:v>
      </x:c>
    </x:row>
    <x:row r="9">
      <x:c r="A9" s="42" t="str">
        <x:v>DTM / DSM generation</x:v>
      </x:c>
      <x:c r="B9" s="42" t="str">
        <x:v>sq-km</x:v>
      </x:c>
      <x:c r="C9" s="62" t="n">
        <x:v>100</x:v>
      </x:c>
      <x:c r="D9" s="62" t="n">
        <x:v>0.8</x:v>
      </x:c>
      <x:c r="E9" s="63" t="str">
        <x:v>LiDAR Analyst</x:v>
      </x:c>
      <x:c r="F9" s="64" t="n">
        <x:f>IFERROR(VLOOKUP(E9,Role_Rates!$A$5:$H$25,6,FALSE),0)</x:f>
        <x:v>8.85</x:v>
      </x:c>
      <x:c r="G9" s="64" t="n">
        <x:f>IFERROR(F9/D9,0)</x:f>
        <x:v>11.062499999999998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14.713124999999998</x:v>
      </x:c>
      <x:c r="P9" s="66" t="n">
        <x:f>Assumptions!$B$6</x:f>
        <x:v>0.35</x:v>
      </x:c>
      <x:c r="Q9" s="64" t="n">
        <x:f>IFERROR(O9/(1-P9),0)</x:f>
        <x:v>22.63557692307692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22.63557692307692</x:v>
      </x:c>
      <x:c r="U9" s="64" t="n">
        <x:f>C9*T9</x:f>
        <x:v>2263.557692307692</x:v>
      </x:c>
    </x:row>
    <x:row r="10">
      <x:c r="A10" s="42" t="str">
        <x:v>Tile / COPC generation</x:v>
      </x:c>
      <x:c r="B10" s="42" t="str">
        <x:v>tile</x:v>
      </x:c>
      <x:c r="C10" s="62" t="n">
        <x:v>500</x:v>
      </x:c>
      <x:c r="D10" s="62" t="n">
        <x:v>10</x:v>
      </x:c>
      <x:c r="E10" s="63" t="str">
        <x:v>LiDAR Analyst</x:v>
      </x:c>
      <x:c r="F10" s="64" t="n">
        <x:f>IFERROR(VLOOKUP(E10,Role_Rates!$A$5:$H$25,6,FALSE),0)</x:f>
        <x:v>8.85</x:v>
      </x:c>
      <x:c r="G10" s="64" t="n">
        <x:f>IFERROR(F10/D10,0)</x:f>
        <x:v>0.885</x:v>
      </x:c>
      <x:c r="H10" s="65" t="n">
        <x:v>0.02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1.20365</x:v>
      </x:c>
      <x:c r="P10" s="66" t="n">
        <x:f>Assumptions!$B$6</x:f>
        <x:v>0.35</x:v>
      </x:c>
      <x:c r="Q10" s="64" t="n">
        <x:f>IFERROR(O10/(1-P10),0)</x:f>
        <x:v>1.8517692307692308</x:v>
      </x:c>
      <x:c r="R10" s="66" t="n">
        <x:f>IFERROR(VLOOKUP(C10,Assumptions!$G$5:$H$9,2,TRUE),0)</x:f>
        <x:v>0.03</x:v>
      </x:c>
      <x:c r="S10" s="67" t="n">
        <x:v>0</x:v>
      </x:c>
      <x:c r="T10" s="64" t="n">
        <x:f>Q10*(1-R10)*(1+S10)</x:f>
        <x:v>1.7962161538461539</x:v>
      </x:c>
      <x:c r="U10" s="64" t="n">
        <x:f>C10*T10</x:f>
        <x:v>898.108076923077</x:v>
      </x:c>
    </x:row>
    <x:row r="11">
      <x:c r="A11" s="42" t="str">
        <x:v>Trajectory / pose alignment QA</x:v>
      </x:c>
      <x:c r="B11" s="42" t="str">
        <x:v>corridor-km</x:v>
      </x:c>
      <x:c r="C11" s="62" t="n">
        <x:v>200</x:v>
      </x:c>
      <x:c r="D11" s="62" t="n">
        <x:v>3</x:v>
      </x:c>
      <x:c r="E11" s="63" t="str">
        <x:v>Senior GIS Analyst</x:v>
      </x:c>
      <x:c r="F11" s="64" t="n">
        <x:f>IFERROR(VLOOKUP(E11,Role_Rates!$A$5:$H$25,6,FALSE),0)</x:f>
        <x:v>9.5875</x:v>
      </x:c>
      <x:c r="G11" s="64" t="n">
        <x:f>IFERROR(F11/D11,0)</x:f>
        <x:v>3.1958333333333333</x:v>
      </x:c>
      <x:c r="H11" s="65" t="n">
        <x:v>0</x:v>
      </x:c>
      <x:c r="I11" s="63" t="str">
        <x:v>Complex</x:v>
      </x:c>
      <x:c r="J11" s="42" t="n">
        <x:f>IFERROR(VLOOKUP(I11,Assumptions!$D$5:$E$8,2,FALSE),1)</x:f>
        <x:v>1.6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6.8007333333333335</x:v>
      </x:c>
      <x:c r="P11" s="66" t="n">
        <x:f>Assumptions!$B$6</x:f>
        <x:v>0.35</x:v>
      </x:c>
      <x:c r="Q11" s="64" t="n">
        <x:f>IFERROR(O11/(1-P11),0)</x:f>
        <x:v>10.462666666666667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10.462666666666667</x:v>
      </x:c>
      <x:c r="U11" s="64" t="n">
        <x:f>C11*T11</x:f>
        <x:v>2092.5333333333333</x:v>
      </x:c>
    </x:row>
    <x:row r="12">
      <x:c r="A12" s="42" t="str">
        <x:v>Point cloud QA audit</x:v>
      </x:c>
      <x:c r="B12" s="42" t="str">
        <x:v>sq-km</x:v>
      </x:c>
      <x:c r="C12" s="62" t="n">
        <x:v>100</x:v>
      </x:c>
      <x:c r="D12" s="62" t="n">
        <x:v>1.2</x:v>
      </x:c>
      <x:c r="E12" s="63" t="str">
        <x:v>QA Analyst</x:v>
      </x:c>
      <x:c r="F12" s="64" t="n">
        <x:f>IFERROR(VLOOKUP(E12,Role_Rates!$A$5:$H$25,6,FALSE),0)</x:f>
        <x:v>7.375</x:v>
      </x:c>
      <x:c r="G12" s="64" t="n">
        <x:f>IFERROR(F12/D12,0)</x:f>
        <x:v>6.145833333333334</x:v>
      </x:c>
      <x:c r="H12" s="65" t="n">
        <x:v>0</x:v>
      </x:c>
      <x:c r="I12" s="63" t="str">
        <x:v>Medium</x:v>
      </x:c>
      <x:c r="J12" s="42" t="n">
        <x:f>IFERROR(VLOOKUP(I12,Assumptions!$D$5:$E$8,2,FALSE),1)</x:f>
        <x:v>1.25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10.21744791666667</x:v>
      </x:c>
      <x:c r="P12" s="66" t="n">
        <x:f>Assumptions!$B$6</x:f>
        <x:v>0.35</x:v>
      </x:c>
      <x:c r="Q12" s="64" t="n">
        <x:f>IFERROR(O12/(1-P12),0)</x:f>
        <x:v>15.719150641025646</x:v>
      </x:c>
      <x:c r="R12" s="66" t="n">
        <x:f>IFERROR(VLOOKUP(C12,Assumptions!$G$5:$H$9,2,TRUE),0)</x:f>
        <x:v>0</x:v>
      </x:c>
      <x:c r="S12" s="67" t="n">
        <x:v>0</x:v>
      </x:c>
      <x:c r="T12" s="64" t="n">
        <x:f>Q12*(1-R12)*(1+S12)</x:f>
        <x:v>15.719150641025646</x:v>
      </x:c>
      <x:c r="U12" s="64" t="n">
        <x:f>C12*T12</x:f>
        <x:v>1571.9150641025647</x:v>
      </x:c>
    </x:row>
    <x:row r="14">
      <x:c r="A14" s="45" t="str">
        <x:v>Calculated Project Sell Value</x:v>
      </x:c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50" t="n">
        <x:f>MAX(SUM(U5:U12),Assumptions!$B$14)</x:f>
        <x:v>139536.10027777776</x:v>
      </x:c>
    </x:row>
    <x:row r="16" ht="28" customHeight="1">
      <x:c r="A16" s="34" t="str">
        <x:v>How to use: edit yellow input cells (Qty, Productivity, Role, Other Cost, Complexity, Rush %). All other rates are formula-driven from global assumptions and role costs.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</x:row>
  </x:sheetData>
  <x:mergeCells>
    <x:mergeCell ref="A1:U1"/>
    <x:mergeCell ref="A2:U2"/>
    <x:mergeCell ref="A14:T14"/>
    <x:mergeCell ref="A16:U16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{5C8B8E4D-BF2A-EF1F-C5B2-317E915A1D38}</x14:id>
        </x:ext>
      </x:extLst>
    </x:cfRule>
  </x:conditionalFormatting>
  <x:dataValidations count="2">
    <x:dataValidation type="list" sqref="I5:I12">
      <x:formula1>"Simple,Standard,Medium,Complex"</x:formula1>
    </x:dataValidation>
    <x:dataValidation type="list" sqref="E5:E12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8B8E4D-BF2A-EF1F-C5B2-317E915A1D38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LiDAR / Viewer Feature Extraction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Feature extraction can be quoted per feature, per corridor-km or hourly for uncertain asset density.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Traffic sign point + attributes</x:v>
      </x:c>
      <x:c r="B5" s="42" t="str">
        <x:v>feature</x:v>
      </x:c>
      <x:c r="C5" s="62" t="n">
        <x:v>5000</x:v>
      </x:c>
      <x:c r="D5" s="62" t="n">
        <x:v>20</x:v>
      </x:c>
      <x:c r="E5" s="63" t="str">
        <x:v>LiDAR Analyst</x:v>
      </x:c>
      <x:c r="F5" s="64" t="n">
        <x:f>IFERROR(VLOOKUP(E5,Role_Rates!$A$5:$H$25,6,FALSE),0)</x:f>
        <x:v>8.85</x:v>
      </x:c>
      <x:c r="G5" s="64" t="n">
        <x:f>IFERROR(F5/D5,0)</x:f>
        <x:v>0.4425</x:v>
      </x:c>
      <x:c r="H5" s="65" t="n">
        <x:v>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0.5885250000000001</x:v>
      </x:c>
      <x:c r="P5" s="66" t="n">
        <x:f>Assumptions!$B$6</x:f>
        <x:v>0.35</x:v>
      </x:c>
      <x:c r="Q5" s="64" t="n">
        <x:f>IFERROR(O5/(1-P5),0)</x:f>
        <x:v>0.905423076923077</x:v>
      </x:c>
      <x:c r="R5" s="66" t="n">
        <x:f>IFERROR(VLOOKUP(C5,Assumptions!$G$5:$H$9,2,TRUE),0)</x:f>
        <x:v>0.08</x:v>
      </x:c>
      <x:c r="S5" s="67" t="n">
        <x:v>0</x:v>
      </x:c>
      <x:c r="T5" s="64" t="n">
        <x:f>Q5*(1-R5)*(1+S5)</x:f>
        <x:v>0.8329892307692309</x:v>
      </x:c>
      <x:c r="U5" s="64" t="n">
        <x:f>C5*T5</x:f>
        <x:v>4164.946153846155</x:v>
      </x:c>
    </x:row>
    <x:row r="6">
      <x:c r="A6" s="42" t="str">
        <x:v>Streetlight / roadside object</x:v>
      </x:c>
      <x:c r="B6" s="42" t="str">
        <x:v>feature</x:v>
      </x:c>
      <x:c r="C6" s="62" t="n">
        <x:v>5000</x:v>
      </x:c>
      <x:c r="D6" s="62" t="n">
        <x:v>18</x:v>
      </x:c>
      <x:c r="E6" s="63" t="str">
        <x:v>LiDAR Analyst</x:v>
      </x:c>
      <x:c r="F6" s="64" t="n">
        <x:f>IFERROR(VLOOKUP(E6,Role_Rates!$A$5:$H$25,6,FALSE),0)</x:f>
        <x:v>8.85</x:v>
      </x:c>
      <x:c r="G6" s="64" t="n">
        <x:f>IFERROR(F6/D6,0)</x:f>
        <x:v>0.49166666666666664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0.6539166666666667</x:v>
      </x:c>
      <x:c r="P6" s="66" t="n">
        <x:f>Assumptions!$B$6</x:f>
        <x:v>0.35</x:v>
      </x:c>
      <x:c r="Q6" s="64" t="n">
        <x:f>IFERROR(O6/(1-P6),0)</x:f>
        <x:v>1.006025641025641</x:v>
      </x:c>
      <x:c r="R6" s="66" t="n">
        <x:f>IFERROR(VLOOKUP(C6,Assumptions!$G$5:$H$9,2,TRUE),0)</x:f>
        <x:v>0.08</x:v>
      </x:c>
      <x:c r="S6" s="67" t="n">
        <x:v>0</x:v>
      </x:c>
      <x:c r="T6" s="64" t="n">
        <x:f>Q6*(1-R6)*(1+S6)</x:f>
        <x:v>0.9255435897435897</x:v>
      </x:c>
      <x:c r="U6" s="64" t="n">
        <x:f>C6*T6</x:f>
        <x:v>4627.717948717948</x:v>
      </x:c>
    </x:row>
    <x:row r="7">
      <x:c r="A7" s="42" t="str">
        <x:v>Barrier / guardrail segment</x:v>
      </x:c>
      <x:c r="B7" s="42" t="str">
        <x:v>feature</x:v>
      </x:c>
      <x:c r="C7" s="62" t="n">
        <x:v>3000</x:v>
      </x:c>
      <x:c r="D7" s="62" t="n">
        <x:v>12</x:v>
      </x:c>
      <x:c r="E7" s="63" t="str">
        <x:v>LiDAR Analyst</x:v>
      </x:c>
      <x:c r="F7" s="64" t="n">
        <x:f>IFERROR(VLOOKUP(E7,Role_Rates!$A$5:$H$25,6,FALSE),0)</x:f>
        <x:v>8.85</x:v>
      </x:c>
      <x:c r="G7" s="64" t="n">
        <x:f>IFERROR(F7/D7,0)</x:f>
        <x:v>0.7374999999999999</x:v>
      </x:c>
      <x:c r="H7" s="65" t="n">
        <x:v>0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1.22609375</x:v>
      </x:c>
      <x:c r="P7" s="66" t="n">
        <x:f>Assumptions!$B$6</x:f>
        <x:v>0.35</x:v>
      </x:c>
      <x:c r="Q7" s="64" t="n">
        <x:f>IFERROR(O7/(1-P7),0)</x:f>
        <x:v>1.8862980769230768</x:v>
      </x:c>
      <x:c r="R7" s="66" t="n">
        <x:f>IFERROR(VLOOKUP(C7,Assumptions!$G$5:$H$9,2,TRUE),0)</x:f>
        <x:v>0.05</x:v>
      </x:c>
      <x:c r="S7" s="67" t="n">
        <x:v>0</x:v>
      </x:c>
      <x:c r="T7" s="64" t="n">
        <x:f>Q7*(1-R7)*(1+S7)</x:f>
        <x:v>1.791983173076923</x:v>
      </x:c>
      <x:c r="U7" s="64" t="n">
        <x:f>C7*T7</x:f>
        <x:v>5375.949519230769</x:v>
      </x:c>
    </x:row>
    <x:row r="8">
      <x:c r="A8" s="42" t="str">
        <x:v>Bridge / structure footprint</x:v>
      </x:c>
      <x:c r="B8" s="42" t="str">
        <x:v>feature</x:v>
      </x:c>
      <x:c r="C8" s="62" t="n">
        <x:v>500</x:v>
      </x:c>
      <x:c r="D8" s="62" t="n">
        <x:v>5</x:v>
      </x:c>
      <x:c r="E8" s="63" t="str">
        <x:v>Senior GIS Analyst</x:v>
      </x:c>
      <x:c r="F8" s="64" t="n">
        <x:f>IFERROR(VLOOKUP(E8,Role_Rates!$A$5:$H$25,6,FALSE),0)</x:f>
        <x:v>9.5875</x:v>
      </x:c>
      <x:c r="G8" s="64" t="n">
        <x:f>IFERROR(F8/D8,0)</x:f>
        <x:v>1.9175</x:v>
      </x:c>
      <x:c r="H8" s="65" t="n">
        <x:v>0</x:v>
      </x:c>
      <x:c r="I8" s="63" t="str">
        <x:v>Complex</x:v>
      </x:c>
      <x:c r="J8" s="42" t="n">
        <x:f>IFERROR(VLOOKUP(I8,Assumptions!$D$5:$E$8,2,FALSE),1)</x:f>
        <x:v>1.6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4.08044</x:v>
      </x:c>
      <x:c r="P8" s="66" t="n">
        <x:f>Assumptions!$B$6</x:f>
        <x:v>0.35</x:v>
      </x:c>
      <x:c r="Q8" s="64" t="n">
        <x:f>IFERROR(O8/(1-P8),0)</x:f>
        <x:v>6.2776000000000005</x:v>
      </x:c>
      <x:c r="R8" s="66" t="n">
        <x:f>IFERROR(VLOOKUP(C8,Assumptions!$G$5:$H$9,2,TRUE),0)</x:f>
        <x:v>0.03</x:v>
      </x:c>
      <x:c r="S8" s="67" t="n">
        <x:v>0</x:v>
      </x:c>
      <x:c r="T8" s="64" t="n">
        <x:f>Q8*(1-R8)*(1+S8)</x:f>
        <x:v>6.089272</x:v>
      </x:c>
      <x:c r="U8" s="64" t="n">
        <x:f>C8*T8</x:f>
        <x:v>3044.636</x:v>
      </x:c>
    </x:row>
    <x:row r="9">
      <x:c r="A9" s="42" t="str">
        <x:v>Building footprint / height</x:v>
      </x:c>
      <x:c r="B9" s="42" t="str">
        <x:v>building</x:v>
      </x:c>
      <x:c r="C9" s="62" t="n">
        <x:v>2000</x:v>
      </x:c>
      <x:c r="D9" s="62" t="n">
        <x:v>10</x:v>
      </x:c>
      <x:c r="E9" s="63" t="str">
        <x:v>LiDAR Analyst</x:v>
      </x:c>
      <x:c r="F9" s="64" t="n">
        <x:f>IFERROR(VLOOKUP(E9,Role_Rates!$A$5:$H$25,6,FALSE),0)</x:f>
        <x:v>8.85</x:v>
      </x:c>
      <x:c r="G9" s="64" t="n">
        <x:f>IFERROR(F9/D9,0)</x:f>
        <x:v>0.885</x:v>
      </x:c>
      <x:c r="H9" s="65" t="n">
        <x:v>0</x:v>
      </x:c>
      <x:c r="I9" s="63" t="str">
        <x:v>Medium</x:v>
      </x:c>
      <x:c r="J9" s="42" t="n">
        <x:f>IFERROR(VLOOKUP(I9,Assumptions!$D$5:$E$8,2,FALSE),1)</x:f>
        <x:v>1.25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1.4713125</x:v>
      </x:c>
      <x:c r="P9" s="66" t="n">
        <x:f>Assumptions!$B$6</x:f>
        <x:v>0.35</x:v>
      </x:c>
      <x:c r="Q9" s="64" t="n">
        <x:f>IFERROR(O9/(1-P9),0)</x:f>
        <x:v>2.263557692307692</x:v>
      </x:c>
      <x:c r="R9" s="66" t="n">
        <x:f>IFERROR(VLOOKUP(C9,Assumptions!$G$5:$H$9,2,TRUE),0)</x:f>
        <x:v>0.05</x:v>
      </x:c>
      <x:c r="S9" s="67" t="n">
        <x:v>0</x:v>
      </x:c>
      <x:c r="T9" s="64" t="n">
        <x:f>Q9*(1-R9)*(1+S9)</x:f>
        <x:v>2.1503798076923073</x:v>
      </x:c>
      <x:c r="U9" s="64" t="n">
        <x:f>C9*T9</x:f>
        <x:v>4300.759615384614</x:v>
      </x:c>
    </x:row>
    <x:row r="10">
      <x:c r="A10" s="42" t="str">
        <x:v>Tree / vegetation object</x:v>
      </x:c>
      <x:c r="B10" s="42" t="str">
        <x:v>feature</x:v>
      </x:c>
      <x:c r="C10" s="62" t="n">
        <x:v>5000</x:v>
      </x:c>
      <x:c r="D10" s="62" t="n">
        <x:v>20</x:v>
      </x:c>
      <x:c r="E10" s="63" t="str">
        <x:v>LiDAR Analyst</x:v>
      </x:c>
      <x:c r="F10" s="64" t="n">
        <x:f>IFERROR(VLOOKUP(E10,Role_Rates!$A$5:$H$25,6,FALSE),0)</x:f>
        <x:v>8.85</x:v>
      </x:c>
      <x:c r="G10" s="64" t="n">
        <x:f>IFERROR(F10/D10,0)</x:f>
        <x:v>0.4425</x:v>
      </x:c>
      <x:c r="H10" s="65" t="n">
        <x:v>0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0.5885250000000001</x:v>
      </x:c>
      <x:c r="P10" s="66" t="n">
        <x:f>Assumptions!$B$6</x:f>
        <x:v>0.35</x:v>
      </x:c>
      <x:c r="Q10" s="64" t="n">
        <x:f>IFERROR(O10/(1-P10),0)</x:f>
        <x:v>0.905423076923077</x:v>
      </x:c>
      <x:c r="R10" s="66" t="n">
        <x:f>IFERROR(VLOOKUP(C10,Assumptions!$G$5:$H$9,2,TRUE),0)</x:f>
        <x:v>0.08</x:v>
      </x:c>
      <x:c r="S10" s="67" t="n">
        <x:v>0</x:v>
      </x:c>
      <x:c r="T10" s="64" t="n">
        <x:f>Q10*(1-R10)*(1+S10)</x:f>
        <x:v>0.8329892307692309</x:v>
      </x:c>
      <x:c r="U10" s="64" t="n">
        <x:f>C10*T10</x:f>
        <x:v>4164.946153846155</x:v>
      </x:c>
    </x:row>
    <x:row r="11">
      <x:c r="A11" s="42" t="str">
        <x:v>Curb / edge line extraction</x:v>
      </x:c>
      <x:c r="B11" s="42" t="str">
        <x:v>km</x:v>
      </x:c>
      <x:c r="C11" s="62" t="n">
        <x:v>500</x:v>
      </x:c>
      <x:c r="D11" s="62" t="n">
        <x:v>1.5</x:v>
      </x:c>
      <x:c r="E11" s="63" t="str">
        <x:v>LiDAR Analyst</x:v>
      </x:c>
      <x:c r="F11" s="64" t="n">
        <x:f>IFERROR(VLOOKUP(E11,Role_Rates!$A$5:$H$25,6,FALSE),0)</x:f>
        <x:v>8.85</x:v>
      </x:c>
      <x:c r="G11" s="64" t="n">
        <x:f>IFERROR(F11/D11,0)</x:f>
        <x:v>5.8999999999999995</x:v>
      </x:c>
      <x:c r="H11" s="65" t="n">
        <x:v>0</x:v>
      </x:c>
      <x:c r="I11" s="63" t="str">
        <x:v>Medium</x:v>
      </x:c>
      <x:c r="J11" s="42" t="n">
        <x:f>IFERROR(VLOOKUP(I11,Assumptions!$D$5:$E$8,2,FALSE),1)</x:f>
        <x:v>1.25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9.80875</x:v>
      </x:c>
      <x:c r="P11" s="66" t="n">
        <x:f>Assumptions!$B$6</x:f>
        <x:v>0.35</x:v>
      </x:c>
      <x:c r="Q11" s="64" t="n">
        <x:f>IFERROR(O11/(1-P11),0)</x:f>
        <x:v>15.090384615384615</x:v>
      </x:c>
      <x:c r="R11" s="66" t="n">
        <x:f>IFERROR(VLOOKUP(C11,Assumptions!$G$5:$H$9,2,TRUE),0)</x:f>
        <x:v>0.03</x:v>
      </x:c>
      <x:c r="S11" s="67" t="n">
        <x:v>0</x:v>
      </x:c>
      <x:c r="T11" s="64" t="n">
        <x:f>Q11*(1-R11)*(1+S11)</x:f>
        <x:v>14.637673076923075</x:v>
      </x:c>
      <x:c r="U11" s="64" t="n">
        <x:f>C11*T11</x:f>
        <x:v>7318.836538461538</x:v>
      </x:c>
    </x:row>
    <x:row r="12">
      <x:c r="A12" s="42" t="str">
        <x:v>Manual viewer extraction</x:v>
      </x:c>
      <x:c r="B12" s="42" t="str">
        <x:v>hour</x:v>
      </x:c>
      <x:c r="C12" s="62" t="n">
        <x:v>1000</x:v>
      </x:c>
      <x:c r="D12" s="62" t="n">
        <x:v>1</x:v>
      </x:c>
      <x:c r="E12" s="63" t="str">
        <x:v>LiDAR Analyst</x:v>
      </x:c>
      <x:c r="F12" s="64" t="n">
        <x:f>IFERROR(VLOOKUP(E12,Role_Rates!$A$5:$H$25,6,FALSE),0)</x:f>
        <x:v>8.85</x:v>
      </x:c>
      <x:c r="G12" s="64" t="n">
        <x:f>IFERROR(F12/D12,0)</x:f>
        <x:v>8.85</x:v>
      </x:c>
      <x:c r="H12" s="65" t="n">
        <x:v>0</x:v>
      </x:c>
      <x:c r="I12" s="63" t="str">
        <x:v>Standard</x:v>
      </x:c>
      <x:c r="J12" s="42" t="n">
        <x:f>IFERROR(VLOOKUP(I12,Assumptions!$D$5:$E$8,2,FALSE),1)</x:f>
        <x:v>1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11.7705</x:v>
      </x:c>
      <x:c r="P12" s="66" t="n">
        <x:f>Assumptions!$B$6</x:f>
        <x:v>0.35</x:v>
      </x:c>
      <x:c r="Q12" s="64" t="n">
        <x:f>IFERROR(O12/(1-P12),0)</x:f>
        <x:v>18.108461538461537</x:v>
      </x:c>
      <x:c r="R12" s="66" t="n">
        <x:f>IFERROR(VLOOKUP(C12,Assumptions!$G$5:$H$9,2,TRUE),0)</x:f>
        <x:v>0.03</x:v>
      </x:c>
      <x:c r="S12" s="67" t="n">
        <x:v>0</x:v>
      </x:c>
      <x:c r="T12" s="64" t="n">
        <x:f>Q12*(1-R12)*(1+S12)</x:f>
        <x:v>17.56520769230769</x:v>
      </x:c>
      <x:c r="U12" s="64" t="n">
        <x:f>C12*T12</x:f>
        <x:v>17565.207692307693</x:v>
      </x:c>
    </x:row>
    <x:row r="13">
      <x:c r="A13" s="42" t="str">
        <x:v>Evidence screenshot / pano match</x:v>
      </x:c>
      <x:c r="B13" s="42" t="str">
        <x:v>feature</x:v>
      </x:c>
      <x:c r="C13" s="62" t="n">
        <x:v>5000</x:v>
      </x:c>
      <x:c r="D13" s="62" t="n">
        <x:v>25</x:v>
      </x:c>
      <x:c r="E13" s="63" t="str">
        <x:v>GIS Analyst</x:v>
      </x:c>
      <x:c r="F13" s="64" t="n">
        <x:f>IFERROR(VLOOKUP(E13,Role_Rates!$A$5:$H$25,6,FALSE),0)</x:f>
        <x:v>6.637499999999999</x:v>
      </x:c>
      <x:c r="G13" s="64" t="n">
        <x:f>IFERROR(F13/D13,0)</x:f>
        <x:v>0.26549999999999996</x:v>
      </x:c>
      <x:c r="H13" s="65" t="n">
        <x:v>0</x:v>
      </x:c>
      <x:c r="I13" s="63" t="str">
        <x:v>Standard</x:v>
      </x:c>
      <x:c r="J13" s="42" t="n">
        <x:f>IFERROR(VLOOKUP(I13,Assumptions!$D$5:$E$8,2,FALSE),1)</x:f>
        <x:v>1</x:v>
      </x:c>
      <x:c r="K13" s="66" t="n">
        <x:f>Assumptions!$B$8</x:f>
        <x:v>0.15</x:v>
      </x:c>
      <x:c r="L13" s="66" t="n">
        <x:f>Assumptions!$B$9</x:f>
        <x:v>0.05</x:v>
      </x:c>
      <x:c r="M13" s="66" t="n">
        <x:f>Assumptions!$B$10</x:f>
        <x:v>0.08</x:v>
      </x:c>
      <x:c r="N13" s="66" t="n">
        <x:f>Assumptions!$B$11</x:f>
        <x:v>0.05</x:v>
      </x:c>
      <x:c r="O13" s="64" t="n">
        <x:f>(G13+H13)*J13*(1+K13+L13+M13+N13)</x:f>
        <x:v>0.35311499999999996</x:v>
      </x:c>
      <x:c r="P13" s="66" t="n">
        <x:f>Assumptions!$B$6</x:f>
        <x:v>0.35</x:v>
      </x:c>
      <x:c r="Q13" s="64" t="n">
        <x:f>IFERROR(O13/(1-P13),0)</x:f>
        <x:v>0.5432538461538461</x:v>
      </x:c>
      <x:c r="R13" s="66" t="n">
        <x:f>IFERROR(VLOOKUP(C13,Assumptions!$G$5:$H$9,2,TRUE),0)</x:f>
        <x:v>0.08</x:v>
      </x:c>
      <x:c r="S13" s="67" t="n">
        <x:v>0</x:v>
      </x:c>
      <x:c r="T13" s="64" t="n">
        <x:f>Q13*(1-R13)*(1+S13)</x:f>
        <x:v>0.4997935384615384</x:v>
      </x:c>
      <x:c r="U13" s="64" t="n">
        <x:f>C13*T13</x:f>
        <x:v>2498.967692307692</x:v>
      </x:c>
    </x:row>
    <x:row r="15">
      <x:c r="A15" s="45" t="str">
        <x:v>Calculated Project Sell Value</x:v>
      </x:c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50" t="n">
        <x:f>MAX(SUM(U5:U13),Assumptions!$B$14)</x:f>
        <x:v>53061.967314102556</x:v>
      </x:c>
    </x:row>
    <x:row r="17" ht="28" customHeight="1">
      <x:c r="A17" s="34" t="str">
        <x:v>How to use: edit yellow input cells (Qty, Productivity, Role, Other Cost, Complexity, Rush %). All other rates are formula-driven from global assumptions and role costs.</x:v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</x:row>
  </x:sheetData>
  <x:mergeCells>
    <x:mergeCell ref="A1:U1"/>
    <x:mergeCell ref="A2:U2"/>
    <x:mergeCell ref="A15:T15"/>
    <x:mergeCell ref="A17:U17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{25810BF9-4825-FE06-BFCC-7475B173348E}</x14:id>
        </x:ext>
      </x:extLst>
    </x:cfRule>
  </x:conditionalFormatting>
  <x:dataValidations count="2">
    <x:dataValidation type="list" sqref="I5:I13">
      <x:formula1>"Simple,Standard,Medium,Complex"</x:formula1>
    </x:dataValidation>
    <x:dataValidation type="list" sqref="E5:E13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810BF9-4825-FE06-BFCC-7475B173348E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Pavement Intelligence / Road Surface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Pricing for lane-level LiDAR/imagery analysis, rutting, cracks, potholes, roughness and evidence.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Road surface preprocessing</x:v>
      </x:c>
      <x:c r="B5" s="42" t="str">
        <x:v>lane-km</x:v>
      </x:c>
      <x:c r="C5" s="62" t="n">
        <x:v>250</x:v>
      </x:c>
      <x:c r="D5" s="62" t="n">
        <x:v>2.5</x:v>
      </x:c>
      <x:c r="E5" s="63" t="str">
        <x:v>LiDAR Analyst</x:v>
      </x:c>
      <x:c r="F5" s="64" t="n">
        <x:f>IFERROR(VLOOKUP(E5,Role_Rates!$A$5:$H$25,6,FALSE),0)</x:f>
        <x:v>8.85</x:v>
      </x:c>
      <x:c r="G5" s="64" t="n">
        <x:f>IFERROR(F5/D5,0)</x:f>
        <x:v>3.54</x:v>
      </x:c>
      <x:c r="H5" s="65" t="n">
        <x:v>0</x:v>
      </x:c>
      <x:c r="I5" s="63" t="str">
        <x:v>Medium</x:v>
      </x:c>
      <x:c r="J5" s="42" t="n">
        <x:f>IFERROR(VLOOKUP(I5,Assumptions!$D$5:$E$8,2,FALSE),1)</x:f>
        <x:v>1.25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5.88525</x:v>
      </x:c>
      <x:c r="P5" s="66" t="n">
        <x:f>Assumptions!$B$6</x:f>
        <x:v>0.35</x:v>
      </x:c>
      <x:c r="Q5" s="64" t="n">
        <x:f>IFERROR(O5/(1-P5),0)</x:f>
        <x:v>9.054230769230768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9.054230769230768</x:v>
      </x:c>
      <x:c r="U5" s="64" t="n">
        <x:f>C5*T5</x:f>
        <x:v>2263.557692307692</x:v>
      </x:c>
    </x:row>
    <x:row r="6">
      <x:c r="A6" s="42" t="str">
        <x:v>Rut detection / transverse profile</x:v>
      </x:c>
      <x:c r="B6" s="42" t="str">
        <x:v>lane-km</x:v>
      </x:c>
      <x:c r="C6" s="62" t="n">
        <x:v>250</x:v>
      </x:c>
      <x:c r="D6" s="62" t="n">
        <x:v>2</x:v>
      </x:c>
      <x:c r="E6" s="63" t="str">
        <x:v>LiDAR Analyst</x:v>
      </x:c>
      <x:c r="F6" s="64" t="n">
        <x:f>IFERROR(VLOOKUP(E6,Role_Rates!$A$5:$H$25,6,FALSE),0)</x:f>
        <x:v>8.85</x:v>
      </x:c>
      <x:c r="G6" s="64" t="n">
        <x:f>IFERROR(F6/D6,0)</x:f>
        <x:v>4.425</x:v>
      </x:c>
      <x:c r="H6" s="65" t="n">
        <x:v>0</x:v>
      </x:c>
      <x:c r="I6" s="63" t="str">
        <x:v>Complex</x:v>
      </x:c>
      <x:c r="J6" s="42" t="n">
        <x:f>IFERROR(VLOOKUP(I6,Assumptions!$D$5:$E$8,2,FALSE),1)</x:f>
        <x:v>1.6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9.416400000000001</x:v>
      </x:c>
      <x:c r="P6" s="66" t="n">
        <x:f>Assumptions!$B$6</x:f>
        <x:v>0.35</x:v>
      </x:c>
      <x:c r="Q6" s="64" t="n">
        <x:f>IFERROR(O6/(1-P6),0)</x:f>
        <x:v>14.486769230769232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14.486769230769232</x:v>
      </x:c>
      <x:c r="U6" s="64" t="n">
        <x:f>C6*T6</x:f>
        <x:v>3621.692307692308</x:v>
      </x:c>
    </x:row>
    <x:row r="7">
      <x:c r="A7" s="42" t="str">
        <x:v>Crack detection / validation</x:v>
      </x:c>
      <x:c r="B7" s="42" t="str">
        <x:v>lane-km</x:v>
      </x:c>
      <x:c r="C7" s="62" t="n">
        <x:v>250</x:v>
      </x:c>
      <x:c r="D7" s="62" t="n">
        <x:v>1.5</x:v>
      </x:c>
      <x:c r="E7" s="63" t="str">
        <x:v>GIS Analyst</x:v>
      </x:c>
      <x:c r="F7" s="64" t="n">
        <x:f>IFERROR(VLOOKUP(E7,Role_Rates!$A$5:$H$25,6,FALSE),0)</x:f>
        <x:v>6.637499999999999</x:v>
      </x:c>
      <x:c r="G7" s="64" t="n">
        <x:f>IFERROR(F7/D7,0)</x:f>
        <x:v>4.425</x:v>
      </x:c>
      <x:c r="H7" s="65" t="n">
        <x:v>0</x:v>
      </x:c>
      <x:c r="I7" s="63" t="str">
        <x:v>Complex</x:v>
      </x:c>
      <x:c r="J7" s="42" t="n">
        <x:f>IFERROR(VLOOKUP(I7,Assumptions!$D$5:$E$8,2,FALSE),1)</x:f>
        <x:v>1.6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9.416400000000001</x:v>
      </x:c>
      <x:c r="P7" s="66" t="n">
        <x:f>Assumptions!$B$6</x:f>
        <x:v>0.35</x:v>
      </x:c>
      <x:c r="Q7" s="64" t="n">
        <x:f>IFERROR(O7/(1-P7),0)</x:f>
        <x:v>14.486769230769232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14.486769230769232</x:v>
      </x:c>
      <x:c r="U7" s="64" t="n">
        <x:f>C7*T7</x:f>
        <x:v>3621.692307692308</x:v>
      </x:c>
    </x:row>
    <x:row r="8">
      <x:c r="A8" s="42" t="str">
        <x:v>Pothole extraction</x:v>
      </x:c>
      <x:c r="B8" s="42" t="str">
        <x:v>feature</x:v>
      </x:c>
      <x:c r="C8" s="62" t="n">
        <x:v>500</x:v>
      </x:c>
      <x:c r="D8" s="62" t="n">
        <x:v>18</x:v>
      </x:c>
      <x:c r="E8" s="63" t="str">
        <x:v>GIS Analyst</x:v>
      </x:c>
      <x:c r="F8" s="64" t="n">
        <x:f>IFERROR(VLOOKUP(E8,Role_Rates!$A$5:$H$25,6,FALSE),0)</x:f>
        <x:v>6.637499999999999</x:v>
      </x:c>
      <x:c r="G8" s="64" t="n">
        <x:f>IFERROR(F8/D8,0)</x:f>
        <x:v>0.36874999999999997</x:v>
      </x:c>
      <x:c r="H8" s="65" t="n">
        <x:v>0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0.613046875</x:v>
      </x:c>
      <x:c r="P8" s="66" t="n">
        <x:f>Assumptions!$B$6</x:f>
        <x:v>0.35</x:v>
      </x:c>
      <x:c r="Q8" s="64" t="n">
        <x:f>IFERROR(O8/(1-P8),0)</x:f>
        <x:v>0.9431490384615384</x:v>
      </x:c>
      <x:c r="R8" s="66" t="n">
        <x:f>IFERROR(VLOOKUP(C8,Assumptions!$G$5:$H$9,2,TRUE),0)</x:f>
        <x:v>0.03</x:v>
      </x:c>
      <x:c r="S8" s="67" t="n">
        <x:v>0</x:v>
      </x:c>
      <x:c r="T8" s="64" t="n">
        <x:f>Q8*(1-R8)*(1+S8)</x:f>
        <x:v>0.9148545673076922</x:v>
      </x:c>
      <x:c r="U8" s="64" t="n">
        <x:f>C8*T8</x:f>
        <x:v>457.42728365384613</x:v>
      </x:c>
    </x:row>
    <x:row r="9">
      <x:c r="A9" s="42" t="str">
        <x:v>Slope / roughness analytics</x:v>
      </x:c>
      <x:c r="B9" s="42" t="str">
        <x:v>lane-km</x:v>
      </x:c>
      <x:c r="C9" s="62" t="n">
        <x:v>250</x:v>
      </x:c>
      <x:c r="D9" s="62" t="n">
        <x:v>3</x:v>
      </x:c>
      <x:c r="E9" s="63" t="str">
        <x:v>LiDAR Analyst</x:v>
      </x:c>
      <x:c r="F9" s="64" t="n">
        <x:f>IFERROR(VLOOKUP(E9,Role_Rates!$A$5:$H$25,6,FALSE),0)</x:f>
        <x:v>8.85</x:v>
      </x:c>
      <x:c r="G9" s="64" t="n">
        <x:f>IFERROR(F9/D9,0)</x:f>
        <x:v>2.9499999999999997</x:v>
      </x:c>
      <x:c r="H9" s="65" t="n">
        <x:v>0</x:v>
      </x:c>
      <x:c r="I9" s="63" t="str">
        <x:v>Medium</x:v>
      </x:c>
      <x:c r="J9" s="42" t="n">
        <x:f>IFERROR(VLOOKUP(I9,Assumptions!$D$5:$E$8,2,FALSE),1)</x:f>
        <x:v>1.25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4.904375</x:v>
      </x:c>
      <x:c r="P9" s="66" t="n">
        <x:f>Assumptions!$B$6</x:f>
        <x:v>0.35</x:v>
      </x:c>
      <x:c r="Q9" s="64" t="n">
        <x:f>IFERROR(O9/(1-P9),0)</x:f>
        <x:v>7.545192307692307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7.545192307692307</x:v>
      </x:c>
      <x:c r="U9" s="64" t="n">
        <x:f>C9*T9</x:f>
        <x:v>1886.298076923077</x:v>
      </x:c>
    </x:row>
    <x:row r="10">
      <x:c r="A10" s="42" t="str">
        <x:v>Feature-to-panorama evidence match</x:v>
      </x:c>
      <x:c r="B10" s="42" t="str">
        <x:v>feature</x:v>
      </x:c>
      <x:c r="C10" s="62" t="n">
        <x:v>500</x:v>
      </x:c>
      <x:c r="D10" s="62" t="n">
        <x:v>20</x:v>
      </x:c>
      <x:c r="E10" s="63" t="str">
        <x:v>GIS Analyst</x:v>
      </x:c>
      <x:c r="F10" s="64" t="n">
        <x:f>IFERROR(VLOOKUP(E10,Role_Rates!$A$5:$H$25,6,FALSE),0)</x:f>
        <x:v>6.637499999999999</x:v>
      </x:c>
      <x:c r="G10" s="64" t="n">
        <x:f>IFERROR(F10/D10,0)</x:f>
        <x:v>0.331875</x:v>
      </x:c>
      <x:c r="H10" s="65" t="n">
        <x:v>0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0.44139375</x:v>
      </x:c>
      <x:c r="P10" s="66" t="n">
        <x:f>Assumptions!$B$6</x:f>
        <x:v>0.35</x:v>
      </x:c>
      <x:c r="Q10" s="64" t="n">
        <x:f>IFERROR(O10/(1-P10),0)</x:f>
        <x:v>0.6790673076923076</x:v>
      </x:c>
      <x:c r="R10" s="66" t="n">
        <x:f>IFERROR(VLOOKUP(C10,Assumptions!$G$5:$H$9,2,TRUE),0)</x:f>
        <x:v>0.03</x:v>
      </x:c>
      <x:c r="S10" s="67" t="n">
        <x:v>0</x:v>
      </x:c>
      <x:c r="T10" s="64" t="n">
        <x:f>Q10*(1-R10)*(1+S10)</x:f>
        <x:v>0.6586952884615384</x:v>
      </x:c>
      <x:c r="U10" s="64" t="n">
        <x:f>C10*T10</x:f>
        <x:v>329.34764423076916</x:v>
      </x:c>
    </x:row>
    <x:row r="11">
      <x:c r="A11" s="42" t="str">
        <x:v>Pavement QA audit</x:v>
      </x:c>
      <x:c r="B11" s="42" t="str">
        <x:v>lane-km</x:v>
      </x:c>
      <x:c r="C11" s="62" t="n">
        <x:v>250</x:v>
      </x:c>
      <x:c r="D11" s="62" t="n">
        <x:v>5</x:v>
      </x:c>
      <x:c r="E11" s="63" t="str">
        <x:v>QA Analyst</x:v>
      </x:c>
      <x:c r="F11" s="64" t="n">
        <x:f>IFERROR(VLOOKUP(E11,Role_Rates!$A$5:$H$25,6,FALSE),0)</x:f>
        <x:v>7.375</x:v>
      </x:c>
      <x:c r="G11" s="64" t="n">
        <x:f>IFERROR(F11/D11,0)</x:f>
        <x:v>1.475</x:v>
      </x:c>
      <x:c r="H11" s="65" t="n">
        <x:v>0</x:v>
      </x:c>
      <x:c r="I11" s="63" t="str">
        <x:v>Medium</x:v>
      </x:c>
      <x:c r="J11" s="42" t="n">
        <x:f>IFERROR(VLOOKUP(I11,Assumptions!$D$5:$E$8,2,FALSE),1)</x:f>
        <x:v>1.25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2.4521875</x:v>
      </x:c>
      <x:c r="P11" s="66" t="n">
        <x:f>Assumptions!$B$6</x:f>
        <x:v>0.35</x:v>
      </x:c>
      <x:c r="Q11" s="64" t="n">
        <x:f>IFERROR(O11/(1-P11),0)</x:f>
        <x:v>3.7725961538461537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3.7725961538461537</x:v>
      </x:c>
      <x:c r="U11" s="64" t="n">
        <x:f>C11*T11</x:f>
        <x:v>943.1490384615385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13123.164350961539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{DAFF35DD-36E9-DF15-5568-8F31D5753B2B}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AFF35DD-36E9-DF15-5568-8F31D5753B2B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Photogrammetry / Orthophoto Processing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Aerial imagery processing priced per area, GCP, tile or deliverable.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RGB image processing</x:v>
      </x:c>
      <x:c r="B5" s="42" t="str">
        <x:v>sq-km</x:v>
      </x:c>
      <x:c r="C5" s="62" t="n">
        <x:v>50</x:v>
      </x:c>
      <x:c r="D5" s="62" t="n">
        <x:v>0.4</x:v>
      </x:c>
      <x:c r="E5" s="63" t="str">
        <x:v>Photogrammetry Analyst</x:v>
      </x:c>
      <x:c r="F5" s="64" t="n">
        <x:f>IFERROR(VLOOKUP(E5,Role_Rates!$A$5:$H$25,6,FALSE),0)</x:f>
        <x:v>9.21875</x:v>
      </x:c>
      <x:c r="G5" s="64" t="n">
        <x:f>IFERROR(F5/D5,0)</x:f>
        <x:v>23.046875</x:v>
      </x:c>
      <x:c r="H5" s="65" t="n">
        <x:v>0.5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31.317343750000003</x:v>
      </x:c>
      <x:c r="P5" s="66" t="n">
        <x:f>Assumptions!$B$6</x:f>
        <x:v>0.35</x:v>
      </x:c>
      <x:c r="Q5" s="64" t="n">
        <x:f>IFERROR(O5/(1-P5),0)</x:f>
        <x:v>48.18052884615385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48.18052884615385</x:v>
      </x:c>
      <x:c r="U5" s="64" t="n">
        <x:f>C5*T5</x:f>
        <x:v>2409.0264423076924</x:v>
      </x:c>
    </x:row>
    <x:row r="6">
      <x:c r="A6" s="42" t="str">
        <x:v>Orthomosaic generation</x:v>
      </x:c>
      <x:c r="B6" s="42" t="str">
        <x:v>sq-km</x:v>
      </x:c>
      <x:c r="C6" s="62" t="n">
        <x:v>50</x:v>
      </x:c>
      <x:c r="D6" s="62" t="n">
        <x:v>0.35</x:v>
      </x:c>
      <x:c r="E6" s="63" t="str">
        <x:v>Photogrammetry Analyst</x:v>
      </x:c>
      <x:c r="F6" s="64" t="n">
        <x:f>IFERROR(VLOOKUP(E6,Role_Rates!$A$5:$H$25,6,FALSE),0)</x:f>
        <x:v>9.21875</x:v>
      </x:c>
      <x:c r="G6" s="64" t="n">
        <x:f>IFERROR(F6/D6,0)</x:f>
        <x:v>26.339285714285715</x:v>
      </x:c>
      <x:c r="H6" s="65" t="n">
        <x:v>0.3</x:v>
      </x:c>
      <x:c r="I6" s="63" t="str">
        <x:v>Medium</x:v>
      </x:c>
      <x:c r="J6" s="42" t="n">
        <x:f>IFERROR(VLOOKUP(I6,Assumptions!$D$5:$E$8,2,FALSE),1)</x:f>
        <x:v>1.25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44.28781250000001</x:v>
      </x:c>
      <x:c r="P6" s="66" t="n">
        <x:f>Assumptions!$B$6</x:f>
        <x:v>0.35</x:v>
      </x:c>
      <x:c r="Q6" s="64" t="n">
        <x:f>IFERROR(O6/(1-P6),0)</x:f>
        <x:v>68.13509615384616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68.13509615384616</x:v>
      </x:c>
      <x:c r="U6" s="64" t="n">
        <x:f>C6*T6</x:f>
        <x:v>3406.754807692308</x:v>
      </x:c>
    </x:row>
    <x:row r="7">
      <x:c r="A7" s="42" t="str">
        <x:v>DSM generation</x:v>
      </x:c>
      <x:c r="B7" s="42" t="str">
        <x:v>sq-km</x:v>
      </x:c>
      <x:c r="C7" s="62" t="n">
        <x:v>50</x:v>
      </x:c>
      <x:c r="D7" s="62" t="n">
        <x:v>0.4</x:v>
      </x:c>
      <x:c r="E7" s="63" t="str">
        <x:v>Photogrammetry Analyst</x:v>
      </x:c>
      <x:c r="F7" s="64" t="n">
        <x:f>IFERROR(VLOOKUP(E7,Role_Rates!$A$5:$H$25,6,FALSE),0)</x:f>
        <x:v>9.21875</x:v>
      </x:c>
      <x:c r="G7" s="64" t="n">
        <x:f>IFERROR(F7/D7,0)</x:f>
        <x:v>23.046875</x:v>
      </x:c>
      <x:c r="H7" s="65" t="n">
        <x:v>0.2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38.6479296875</x:v>
      </x:c>
      <x:c r="P7" s="66" t="n">
        <x:f>Assumptions!$B$6</x:f>
        <x:v>0.35</x:v>
      </x:c>
      <x:c r="Q7" s="64" t="n">
        <x:f>IFERROR(O7/(1-P7),0)</x:f>
        <x:v>59.45835336538462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59.45835336538462</x:v>
      </x:c>
      <x:c r="U7" s="64" t="n">
        <x:f>C7*T7</x:f>
        <x:v>2972.917668269231</x:v>
      </x:c>
    </x:row>
    <x:row r="8">
      <x:c r="A8" s="42" t="str">
        <x:v>DTM / bare earth edit</x:v>
      </x:c>
      <x:c r="B8" s="42" t="str">
        <x:v>sq-km</x:v>
      </x:c>
      <x:c r="C8" s="62" t="n">
        <x:v>25</x:v>
      </x:c>
      <x:c r="D8" s="62" t="n">
        <x:v>0.2</x:v>
      </x:c>
      <x:c r="E8" s="63" t="str">
        <x:v>Photogrammetry Analyst</x:v>
      </x:c>
      <x:c r="F8" s="64" t="n">
        <x:f>IFERROR(VLOOKUP(E8,Role_Rates!$A$5:$H$25,6,FALSE),0)</x:f>
        <x:v>9.21875</x:v>
      </x:c>
      <x:c r="G8" s="64" t="n">
        <x:f>IFERROR(F8/D8,0)</x:f>
        <x:v>46.09375</x:v>
      </x:c>
      <x:c r="H8" s="65" t="n">
        <x:v>0.2</x:v>
      </x:c>
      <x:c r="I8" s="63" t="str">
        <x:v>Complex</x:v>
      </x:c>
      <x:c r="J8" s="42" t="n">
        <x:f>IFERROR(VLOOKUP(I8,Assumptions!$D$5:$E$8,2,FALSE),1)</x:f>
        <x:v>1.6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98.51310000000001</x:v>
      </x:c>
      <x:c r="P8" s="66" t="n">
        <x:f>Assumptions!$B$6</x:f>
        <x:v>0.35</x:v>
      </x:c>
      <x:c r="Q8" s="64" t="n">
        <x:f>IFERROR(O8/(1-P8),0)</x:f>
        <x:v>151.5586153846154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151.5586153846154</x:v>
      </x:c>
      <x:c r="U8" s="64" t="n">
        <x:f>C8*T8</x:f>
        <x:v>3788.9653846153847</x:v>
      </x:c>
    </x:row>
    <x:row r="9">
      <x:c r="A9" s="42" t="str">
        <x:v>Contour generation</x:v>
      </x:c>
      <x:c r="B9" s="42" t="str">
        <x:v>sq-km</x:v>
      </x:c>
      <x:c r="C9" s="62" t="n">
        <x:v>50</x:v>
      </x:c>
      <x:c r="D9" s="62" t="n">
        <x:v>0.6</x:v>
      </x:c>
      <x:c r="E9" s="63" t="str">
        <x:v>GIS Analyst</x:v>
      </x:c>
      <x:c r="F9" s="64" t="n">
        <x:f>IFERROR(VLOOKUP(E9,Role_Rates!$A$5:$H$25,6,FALSE),0)</x:f>
        <x:v>6.637499999999999</x:v>
      </x:c>
      <x:c r="G9" s="64" t="n">
        <x:f>IFERROR(F9/D9,0)</x:f>
        <x:v>11.0625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14.713125000000002</x:v>
      </x:c>
      <x:c r="P9" s="66" t="n">
        <x:f>Assumptions!$B$6</x:f>
        <x:v>0.35</x:v>
      </x:c>
      <x:c r="Q9" s="64" t="n">
        <x:f>IFERROR(O9/(1-P9),0)</x:f>
        <x:v>22.635576923076925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22.635576923076925</x:v>
      </x:c>
      <x:c r="U9" s="64" t="n">
        <x:f>C9*T9</x:f>
        <x:v>1131.7788461538462</x:v>
      </x:c>
    </x:row>
    <x:row r="10">
      <x:c r="A10" s="42" t="str">
        <x:v>GCP processing / adjustment</x:v>
      </x:c>
      <x:c r="B10" s="42" t="str">
        <x:v>GCP</x:v>
      </x:c>
      <x:c r="C10" s="62" t="n">
        <x:v>30</x:v>
      </x:c>
      <x:c r="D10" s="62" t="n">
        <x:v>6</x:v>
      </x:c>
      <x:c r="E10" s="63" t="str">
        <x:v>Survey/GCP Technician</x:v>
      </x:c>
      <x:c r="F10" s="64" t="n">
        <x:f>IFERROR(VLOOKUP(E10,Role_Rates!$A$5:$H$25,6,FALSE),0)</x:f>
        <x:v>22.125</x:v>
      </x:c>
      <x:c r="G10" s="64" t="n">
        <x:f>IFERROR(F10/D10,0)</x:f>
        <x:v>3.6875</x:v>
      </x:c>
      <x:c r="H10" s="65" t="n">
        <x:v>0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6.13046875</x:v>
      </x:c>
      <x:c r="P10" s="66" t="n">
        <x:f>Assumptions!$B$6</x:f>
        <x:v>0.35</x:v>
      </x:c>
      <x:c r="Q10" s="64" t="n">
        <x:f>IFERROR(O10/(1-P10),0)</x:f>
        <x:v>9.431490384615385</x:v>
      </x:c>
      <x:c r="R10" s="66" t="n">
        <x:f>IFERROR(VLOOKUP(C10,Assumptions!$G$5:$H$9,2,TRUE),0)</x:f>
        <x:v>0</x:v>
      </x:c>
      <x:c r="S10" s="67" t="n">
        <x:v>0</x:v>
      </x:c>
      <x:c r="T10" s="64" t="n">
        <x:f>Q10*(1-R10)*(1+S10)</x:f>
        <x:v>9.431490384615385</x:v>
      </x:c>
      <x:c r="U10" s="64" t="n">
        <x:f>C10*T10</x:f>
        <x:v>282.94471153846155</x:v>
      </x:c>
    </x:row>
    <x:row r="11">
      <x:c r="A11" s="42" t="str">
        <x:v>3D mesh / textured model</x:v>
      </x:c>
      <x:c r="B11" s="42" t="str">
        <x:v>sq-km</x:v>
      </x:c>
      <x:c r="C11" s="62" t="n">
        <x:v>10</x:v>
      </x:c>
      <x:c r="D11" s="62" t="n">
        <x:v>0.15</x:v>
      </x:c>
      <x:c r="E11" s="63" t="str">
        <x:v>Photogrammetry Analyst</x:v>
      </x:c>
      <x:c r="F11" s="64" t="n">
        <x:f>IFERROR(VLOOKUP(E11,Role_Rates!$A$5:$H$25,6,FALSE),0)</x:f>
        <x:v>9.21875</x:v>
      </x:c>
      <x:c r="G11" s="64" t="n">
        <x:f>IFERROR(F11/D11,0)</x:f>
        <x:v>61.458333333333336</x:v>
      </x:c>
      <x:c r="H11" s="65" t="n">
        <x:v>0.5</x:v>
      </x:c>
      <x:c r="I11" s="63" t="str">
        <x:v>Complex</x:v>
      </x:c>
      <x:c r="J11" s="42" t="n">
        <x:f>IFERROR(VLOOKUP(I11,Assumptions!$D$5:$E$8,2,FALSE),1)</x:f>
        <x:v>1.6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131.84733333333335</x:v>
      </x:c>
      <x:c r="P11" s="66" t="n">
        <x:f>Assumptions!$B$6</x:f>
        <x:v>0.35</x:v>
      </x:c>
      <x:c r="Q11" s="64" t="n">
        <x:f>IFERROR(O11/(1-P11),0)</x:f>
        <x:v>202.8420512820513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202.8420512820513</x:v>
      </x:c>
      <x:c r="U11" s="64" t="n">
        <x:f>C11*T11</x:f>
        <x:v>2028.420512820513</x:v>
      </x:c>
    </x:row>
    <x:row r="12">
      <x:c r="A12" s="42" t="str">
        <x:v>Accuracy / QC report</x:v>
      </x:c>
      <x:c r="B12" s="42" t="str">
        <x:v>project</x:v>
      </x:c>
      <x:c r="C12" s="62" t="n">
        <x:v>1</x:v>
      </x:c>
      <x:c r="D12" s="62" t="n">
        <x:v>0.03</x:v>
      </x:c>
      <x:c r="E12" s="63" t="str">
        <x:v>QA Analyst</x:v>
      </x:c>
      <x:c r="F12" s="64" t="n">
        <x:f>IFERROR(VLOOKUP(E12,Role_Rates!$A$5:$H$25,6,FALSE),0)</x:f>
        <x:v>7.375</x:v>
      </x:c>
      <x:c r="G12" s="64" t="n">
        <x:f>IFERROR(F12/D12,0)</x:f>
        <x:v>245.83333333333334</x:v>
      </x:c>
      <x:c r="H12" s="65" t="n">
        <x:v>5</x:v>
      </x:c>
      <x:c r="I12" s="63" t="str">
        <x:v>Medium</x:v>
      </x:c>
      <x:c r="J12" s="42" t="n">
        <x:f>IFERROR(VLOOKUP(I12,Assumptions!$D$5:$E$8,2,FALSE),1)</x:f>
        <x:v>1.25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417.01041666666674</x:v>
      </x:c>
      <x:c r="P12" s="66" t="n">
        <x:f>Assumptions!$B$6</x:f>
        <x:v>0.35</x:v>
      </x:c>
      <x:c r="Q12" s="64" t="n">
        <x:f>IFERROR(O12/(1-P12),0)</x:f>
        <x:v>641.5544871794873</x:v>
      </x:c>
      <x:c r="R12" s="66" t="n">
        <x:f>IFERROR(VLOOKUP(C12,Assumptions!$G$5:$H$9,2,TRUE),0)</x:f>
        <x:v>0</x:v>
      </x:c>
      <x:c r="S12" s="67" t="n">
        <x:v>0</x:v>
      </x:c>
      <x:c r="T12" s="64" t="n">
        <x:f>Q12*(1-R12)*(1+S12)</x:f>
        <x:v>641.5544871794873</x:v>
      </x:c>
      <x:c r="U12" s="64" t="n">
        <x:f>C12*T12</x:f>
        <x:v>641.5544871794873</x:v>
      </x:c>
    </x:row>
    <x:row r="14">
      <x:c r="A14" s="45" t="str">
        <x:v>Calculated Project Sell Value</x:v>
      </x:c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50" t="n">
        <x:f>MAX(SUM(U5:U12),Assumptions!$B$14)</x:f>
        <x:v>16662.362860576923</x:v>
      </x:c>
    </x:row>
    <x:row r="16" ht="28" customHeight="1">
      <x:c r="A16" s="34" t="str">
        <x:v>How to use: edit yellow input cells (Qty, Productivity, Role, Other Cost, Complexity, Rush %). All other rates are formula-driven from global assumptions and role costs.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</x:row>
  </x:sheetData>
  <x:mergeCells>
    <x:mergeCell ref="A1:U1"/>
    <x:mergeCell ref="A2:U2"/>
    <x:mergeCell ref="A14:T14"/>
    <x:mergeCell ref="A16:U16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{8080E9B0-54F0-54FE-1573-8689E56BB2C7}</x14:id>
        </x:ext>
      </x:extLst>
    </x:cfRule>
  </x:conditionalFormatting>
  <x:dataValidations count="2">
    <x:dataValidation type="list" sqref="I5:I12">
      <x:formula1>"Simple,Standard,Medium,Complex"</x:formula1>
    </x:dataValidation>
    <x:dataValidation type="list" sqref="E5:E12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080E9B0-54F0-54FE-1573-8689E56BB2C7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Drone Survey / UAV Mapping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Field acquisition and mapping priced per acre, corridor-km, site or visit.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Site mobilization</x:v>
      </x:c>
      <x:c r="B5" s="42" t="str">
        <x:v>site</x:v>
      </x:c>
      <x:c r="C5" s="62" t="n">
        <x:v>1</x:v>
      </x:c>
      <x:c r="D5" s="62" t="n">
        <x:v>0.1</x:v>
      </x:c>
      <x:c r="E5" s="63" t="str">
        <x:v>Drone Pilot</x:v>
      </x:c>
      <x:c r="F5" s="64" t="n">
        <x:f>IFERROR(VLOOKUP(E5,Role_Rates!$A$5:$H$25,6,FALSE),0)</x:f>
        <x:v>27.53333333333333</x:v>
      </x:c>
      <x:c r="G5" s="64" t="n">
        <x:f>IFERROR(F5/D5,0)</x:f>
        <x:v>275.3333333333333</x:v>
      </x:c>
      <x:c r="H5" s="65" t="n">
        <x:v>125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532.4433333333334</x:v>
      </x:c>
      <x:c r="P5" s="66" t="n">
        <x:f>Assumptions!$B$6</x:f>
        <x:v>0.35</x:v>
      </x:c>
      <x:c r="Q5" s="64" t="n">
        <x:f>IFERROR(O5/(1-P5),0)</x:f>
        <x:v>819.1435897435898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819.1435897435898</x:v>
      </x:c>
      <x:c r="U5" s="64" t="n">
        <x:f>C5*T5</x:f>
        <x:v>819.1435897435898</x:v>
      </x:c>
    </x:row>
    <x:row r="6">
      <x:c r="A6" s="42" t="str">
        <x:v>RGB photogrammetry capture</x:v>
      </x:c>
      <x:c r="B6" s="42" t="str">
        <x:v>acre</x:v>
      </x:c>
      <x:c r="C6" s="62" t="n">
        <x:v>200</x:v>
      </x:c>
      <x:c r="D6" s="62" t="n">
        <x:v>12</x:v>
      </x:c>
      <x:c r="E6" s="63" t="str">
        <x:v>Drone Pilot</x:v>
      </x:c>
      <x:c r="F6" s="64" t="n">
        <x:f>IFERROR(VLOOKUP(E6,Role_Rates!$A$5:$H$25,6,FALSE),0)</x:f>
        <x:v>27.53333333333333</x:v>
      </x:c>
      <x:c r="G6" s="64" t="n">
        <x:f>IFERROR(F6/D6,0)</x:f>
        <x:v>2.2944444444444443</x:v>
      </x:c>
      <x:c r="H6" s="65" t="n">
        <x:v>0.15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3.251111111111111</x:v>
      </x:c>
      <x:c r="P6" s="66" t="n">
        <x:f>Assumptions!$B$6</x:f>
        <x:v>0.35</x:v>
      </x:c>
      <x:c r="Q6" s="64" t="n">
        <x:f>IFERROR(O6/(1-P6),0)</x:f>
        <x:v>5.001709401709401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5.001709401709401</x:v>
      </x:c>
      <x:c r="U6" s="64" t="n">
        <x:f>C6*T6</x:f>
        <x:v>1000.3418803418801</x:v>
      </x:c>
    </x:row>
    <x:row r="7">
      <x:c r="A7" s="42" t="str">
        <x:v>Drone LiDAR capture</x:v>
      </x:c>
      <x:c r="B7" s="42" t="str">
        <x:v>acre</x:v>
      </x:c>
      <x:c r="C7" s="62" t="n">
        <x:v>100</x:v>
      </x:c>
      <x:c r="D7" s="62" t="n">
        <x:v>7</x:v>
      </x:c>
      <x:c r="E7" s="63" t="str">
        <x:v>Drone Pilot</x:v>
      </x:c>
      <x:c r="F7" s="64" t="n">
        <x:f>IFERROR(VLOOKUP(E7,Role_Rates!$A$5:$H$25,6,FALSE),0)</x:f>
        <x:v>27.53333333333333</x:v>
      </x:c>
      <x:c r="G7" s="64" t="n">
        <x:f>IFERROR(F7/D7,0)</x:f>
        <x:v>3.933333333333333</x:v>
      </x:c>
      <x:c r="H7" s="65" t="n">
        <x:v>0.45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7.2872916666666665</x:v>
      </x:c>
      <x:c r="P7" s="66" t="n">
        <x:f>Assumptions!$B$6</x:f>
        <x:v>0.35</x:v>
      </x:c>
      <x:c r="Q7" s="64" t="n">
        <x:f>IFERROR(O7/(1-P7),0)</x:f>
        <x:v>11.211217948717948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11.211217948717948</x:v>
      </x:c>
      <x:c r="U7" s="64" t="n">
        <x:f>C7*T7</x:f>
        <x:v>1121.121794871795</x:v>
      </x:c>
    </x:row>
    <x:row r="8">
      <x:c r="A8" s="42" t="str">
        <x:v>Corridor aerial capture</x:v>
      </x:c>
      <x:c r="B8" s="42" t="str">
        <x:v>corridor-km</x:v>
      </x:c>
      <x:c r="C8" s="62" t="n">
        <x:v>50</x:v>
      </x:c>
      <x:c r="D8" s="62" t="n">
        <x:v>4</x:v>
      </x:c>
      <x:c r="E8" s="63" t="str">
        <x:v>Drone Pilot</x:v>
      </x:c>
      <x:c r="F8" s="64" t="n">
        <x:f>IFERROR(VLOOKUP(E8,Role_Rates!$A$5:$H$25,6,FALSE),0)</x:f>
        <x:v>27.53333333333333</x:v>
      </x:c>
      <x:c r="G8" s="64" t="n">
        <x:f>IFERROR(F8/D8,0)</x:f>
        <x:v>6.883333333333333</x:v>
      </x:c>
      <x:c r="H8" s="65" t="n">
        <x:v>0.5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12.274791666666667</x:v>
      </x:c>
      <x:c r="P8" s="66" t="n">
        <x:f>Assumptions!$B$6</x:f>
        <x:v>0.35</x:v>
      </x:c>
      <x:c r="Q8" s="64" t="n">
        <x:f>IFERROR(O8/(1-P8),0)</x:f>
        <x:v>18.88429487179487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18.88429487179487</x:v>
      </x:c>
      <x:c r="U8" s="64" t="n">
        <x:f>C8*T8</x:f>
        <x:v>944.2147435897435</x:v>
      </x:c>
    </x:row>
    <x:row r="9">
      <x:c r="A9" s="42" t="str">
        <x:v>Ground control point setup</x:v>
      </x:c>
      <x:c r="B9" s="42" t="str">
        <x:v>GCP</x:v>
      </x:c>
      <x:c r="C9" s="62" t="n">
        <x:v>20</x:v>
      </x:c>
      <x:c r="D9" s="62" t="n">
        <x:v>3</x:v>
      </x:c>
      <x:c r="E9" s="63" t="str">
        <x:v>Survey/GCP Technician</x:v>
      </x:c>
      <x:c r="F9" s="64" t="n">
        <x:f>IFERROR(VLOOKUP(E9,Role_Rates!$A$5:$H$25,6,FALSE),0)</x:f>
        <x:v>22.125</x:v>
      </x:c>
      <x:c r="G9" s="64" t="n">
        <x:f>IFERROR(F9/D9,0)</x:f>
        <x:v>7.375</x:v>
      </x:c>
      <x:c r="H9" s="65" t="n">
        <x:v>2</x:v>
      </x:c>
      <x:c r="I9" s="63" t="str">
        <x:v>Medium</x:v>
      </x:c>
      <x:c r="J9" s="42" t="n">
        <x:f>IFERROR(VLOOKUP(I9,Assumptions!$D$5:$E$8,2,FALSE),1)</x:f>
        <x:v>1.25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15.5859375</x:v>
      </x:c>
      <x:c r="P9" s="66" t="n">
        <x:f>Assumptions!$B$6</x:f>
        <x:v>0.35</x:v>
      </x:c>
      <x:c r="Q9" s="64" t="n">
        <x:f>IFERROR(O9/(1-P9),0)</x:f>
        <x:v>23.978365384615383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23.978365384615383</x:v>
      </x:c>
      <x:c r="U9" s="64" t="n">
        <x:f>C9*T9</x:f>
        <x:v>479.5673076923077</x:v>
      </x:c>
    </x:row>
    <x:row r="10">
      <x:c r="A10" s="42" t="str">
        <x:v>Reflight / weather revisit</x:v>
      </x:c>
      <x:c r="B10" s="42" t="str">
        <x:v>flight-day</x:v>
      </x:c>
      <x:c r="C10" s="62" t="n">
        <x:v>1</x:v>
      </x:c>
      <x:c r="D10" s="62" t="n">
        <x:v>0.125</x:v>
      </x:c>
      <x:c r="E10" s="63" t="str">
        <x:v>Drone Pilot</x:v>
      </x:c>
      <x:c r="F10" s="64" t="n">
        <x:f>IFERROR(VLOOKUP(E10,Role_Rates!$A$5:$H$25,6,FALSE),0)</x:f>
        <x:v>27.53333333333333</x:v>
      </x:c>
      <x:c r="G10" s="64" t="n">
        <x:f>IFERROR(F10/D10,0)</x:f>
        <x:v>220.26666666666665</x:v>
      </x:c>
      <x:c r="H10" s="65" t="n">
        <x:v>100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532.4433333333334</x:v>
      </x:c>
      <x:c r="P10" s="66" t="n">
        <x:f>Assumptions!$B$6</x:f>
        <x:v>0.35</x:v>
      </x:c>
      <x:c r="Q10" s="64" t="n">
        <x:f>IFERROR(O10/(1-P10),0)</x:f>
        <x:v>819.1435897435898</x:v>
      </x:c>
      <x:c r="R10" s="66" t="n">
        <x:f>IFERROR(VLOOKUP(C10,Assumptions!$G$5:$H$9,2,TRUE),0)</x:f>
        <x:v>0</x:v>
      </x:c>
      <x:c r="S10" s="67" t="n">
        <x:v>0</x:v>
      </x:c>
      <x:c r="T10" s="64" t="n">
        <x:f>Q10*(1-R10)*(1+S10)</x:f>
        <x:v>819.1435897435898</x:v>
      </x:c>
      <x:c r="U10" s="64" t="n">
        <x:f>C10*T10</x:f>
        <x:v>819.1435897435898</x:v>
      </x:c>
    </x:row>
    <x:row r="11">
      <x:c r="A11" s="42" t="str">
        <x:v>Field safety / permissions pack</x:v>
      </x:c>
      <x:c r="B11" s="42" t="str">
        <x:v>project</x:v>
      </x:c>
      <x:c r="C11" s="62" t="n">
        <x:v>1</x:v>
      </x:c>
      <x:c r="D11" s="62" t="n">
        <x:v>0.05</x:v>
      </x:c>
      <x:c r="E11" s="63" t="str">
        <x:v>Project Manager</x:v>
      </x:c>
      <x:c r="F11" s="64" t="n">
        <x:f>IFERROR(VLOOKUP(E11,Role_Rates!$A$5:$H$25,6,FALSE),0)</x:f>
        <x:v>19.666666666666668</x:v>
      </x:c>
      <x:c r="G11" s="64" t="n">
        <x:f>IFERROR(F11/D11,0)</x:f>
        <x:v>393.3333333333333</x:v>
      </x:c>
      <x:c r="H11" s="65" t="n">
        <x:v>15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543.0833333333334</x:v>
      </x:c>
      <x:c r="P11" s="66" t="n">
        <x:f>Assumptions!$B$6</x:f>
        <x:v>0.35</x:v>
      </x:c>
      <x:c r="Q11" s="64" t="n">
        <x:f>IFERROR(O11/(1-P11),0)</x:f>
        <x:v>835.5128205128206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835.5128205128206</x:v>
      </x:c>
      <x:c r="U11" s="64" t="n">
        <x:f>C11*T11</x:f>
        <x:v>835.5128205128206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6019.045726495726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{9A668369-5AC8-D68A-F592-C571F58BC609}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A668369-5AC8-D68A-F592-C571F58BC609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Satellite &amp; Remote Sensing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Scene procurement/pass-through plus analysis by sq km, scene, class or feature.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Scene procurement / license</x:v>
      </x:c>
      <x:c r="B5" s="42" t="str">
        <x:v>scene</x:v>
      </x:c>
      <x:c r="C5" s="62" t="n">
        <x:v>4</x:v>
      </x:c>
      <x:c r="D5" s="62" t="n">
        <x:v>1</x:v>
      </x:c>
      <x:c r="E5" s="63" t="str">
        <x:v>Remote Sensing Analyst</x:v>
      </x:c>
      <x:c r="F5" s="64" t="n">
        <x:f>IFERROR(VLOOKUP(E5,Role_Rates!$A$5:$H$25,6,FALSE),0)</x:f>
        <x:v>9.5875</x:v>
      </x:c>
      <x:c r="G5" s="64" t="n">
        <x:f>IFERROR(F5/D5,0)</x:f>
        <x:v>9.5875</x:v>
      </x:c>
      <x:c r="H5" s="65" t="n">
        <x:v>250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345.251375</x:v>
      </x:c>
      <x:c r="P5" s="66" t="n">
        <x:f>Assumptions!$B$6</x:f>
        <x:v>0.35</x:v>
      </x:c>
      <x:c r="Q5" s="64" t="n">
        <x:f>IFERROR(O5/(1-P5),0)</x:f>
        <x:v>531.1559615384615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531.1559615384615</x:v>
      </x:c>
      <x:c r="U5" s="64" t="n">
        <x:f>C5*T5</x:f>
        <x:v>2124.623846153846</x:v>
      </x:c>
    </x:row>
    <x:row r="6">
      <x:c r="A6" s="42" t="str">
        <x:v>Pre-processing / atmospheric correction</x:v>
      </x:c>
      <x:c r="B6" s="42" t="str">
        <x:v>scene</x:v>
      </x:c>
      <x:c r="C6" s="62" t="n">
        <x:v>4</x:v>
      </x:c>
      <x:c r="D6" s="62" t="n">
        <x:v>0.25</x:v>
      </x:c>
      <x:c r="E6" s="63" t="str">
        <x:v>Remote Sensing Analyst</x:v>
      </x:c>
      <x:c r="F6" s="64" t="n">
        <x:f>IFERROR(VLOOKUP(E6,Role_Rates!$A$5:$H$25,6,FALSE),0)</x:f>
        <x:v>9.5875</x:v>
      </x:c>
      <x:c r="G6" s="64" t="n">
        <x:f>IFERROR(F6/D6,0)</x:f>
        <x:v>38.35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51.005500000000005</x:v>
      </x:c>
      <x:c r="P6" s="66" t="n">
        <x:f>Assumptions!$B$6</x:f>
        <x:v>0.35</x:v>
      </x:c>
      <x:c r="Q6" s="64" t="n">
        <x:f>IFERROR(O6/(1-P6),0)</x:f>
        <x:v>78.47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78.47</x:v>
      </x:c>
      <x:c r="U6" s="64" t="n">
        <x:f>C6*T6</x:f>
        <x:v>313.88</x:v>
      </x:c>
    </x:row>
    <x:row r="7">
      <x:c r="A7" s="42" t="str">
        <x:v>Orthorectification</x:v>
      </x:c>
      <x:c r="B7" s="42" t="str">
        <x:v>sq-km</x:v>
      </x:c>
      <x:c r="C7" s="62" t="n">
        <x:v>500</x:v>
      </x:c>
      <x:c r="D7" s="62" t="n">
        <x:v>1.5</x:v>
      </x:c>
      <x:c r="E7" s="63" t="str">
        <x:v>Remote Sensing Analyst</x:v>
      </x:c>
      <x:c r="F7" s="64" t="n">
        <x:f>IFERROR(VLOOKUP(E7,Role_Rates!$A$5:$H$25,6,FALSE),0)</x:f>
        <x:v>9.5875</x:v>
      </x:c>
      <x:c r="G7" s="64" t="n">
        <x:f>IFERROR(F7/D7,0)</x:f>
        <x:v>6.391666666666667</x:v>
      </x:c>
      <x:c r="H7" s="65" t="n">
        <x:v>0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10.626145833333334</x:v>
      </x:c>
      <x:c r="P7" s="66" t="n">
        <x:f>Assumptions!$B$6</x:f>
        <x:v>0.35</x:v>
      </x:c>
      <x:c r="Q7" s="64" t="n">
        <x:f>IFERROR(O7/(1-P7),0)</x:f>
        <x:v>16.347916666666666</x:v>
      </x:c>
      <x:c r="R7" s="66" t="n">
        <x:f>IFERROR(VLOOKUP(C7,Assumptions!$G$5:$H$9,2,TRUE),0)</x:f>
        <x:v>0.03</x:v>
      </x:c>
      <x:c r="S7" s="67" t="n">
        <x:v>0</x:v>
      </x:c>
      <x:c r="T7" s="64" t="n">
        <x:f>Q7*(1-R7)*(1+S7)</x:f>
        <x:v>15.857479166666666</x:v>
      </x:c>
      <x:c r="U7" s="64" t="n">
        <x:f>C7*T7</x:f>
        <x:v>7928.739583333333</x:v>
      </x:c>
    </x:row>
    <x:row r="8">
      <x:c r="A8" s="42" t="str">
        <x:v>Land-use / land-cover classification</x:v>
      </x:c>
      <x:c r="B8" s="42" t="str">
        <x:v>sq-km</x:v>
      </x:c>
      <x:c r="C8" s="62" t="n">
        <x:v>500</x:v>
      </x:c>
      <x:c r="D8" s="62" t="n">
        <x:v>1.2</x:v>
      </x:c>
      <x:c r="E8" s="63" t="str">
        <x:v>Remote Sensing Analyst</x:v>
      </x:c>
      <x:c r="F8" s="64" t="n">
        <x:f>IFERROR(VLOOKUP(E8,Role_Rates!$A$5:$H$25,6,FALSE),0)</x:f>
        <x:v>9.5875</x:v>
      </x:c>
      <x:c r="G8" s="64" t="n">
        <x:f>IFERROR(F8/D8,0)</x:f>
        <x:v>7.989583333333334</x:v>
      </x:c>
      <x:c r="H8" s="65" t="n">
        <x:v>0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13.282682291666669</x:v>
      </x:c>
      <x:c r="P8" s="66" t="n">
        <x:f>Assumptions!$B$6</x:f>
        <x:v>0.35</x:v>
      </x:c>
      <x:c r="Q8" s="64" t="n">
        <x:f>IFERROR(O8/(1-P8),0)</x:f>
        <x:v>20.434895833333336</x:v>
      </x:c>
      <x:c r="R8" s="66" t="n">
        <x:f>IFERROR(VLOOKUP(C8,Assumptions!$G$5:$H$9,2,TRUE),0)</x:f>
        <x:v>0.03</x:v>
      </x:c>
      <x:c r="S8" s="67" t="n">
        <x:v>0</x:v>
      </x:c>
      <x:c r="T8" s="64" t="n">
        <x:f>Q8*(1-R8)*(1+S8)</x:f>
        <x:v>19.821848958333334</x:v>
      </x:c>
      <x:c r="U8" s="64" t="n">
        <x:f>C8*T8</x:f>
        <x:v>9910.924479166666</x:v>
      </x:c>
    </x:row>
    <x:row r="9">
      <x:c r="A9" s="42" t="str">
        <x:v>Vegetation / index analytics</x:v>
      </x:c>
      <x:c r="B9" s="42" t="str">
        <x:v>sq-km</x:v>
      </x:c>
      <x:c r="C9" s="62" t="n">
        <x:v>500</x:v>
      </x:c>
      <x:c r="D9" s="62" t="n">
        <x:v>2</x:v>
      </x:c>
      <x:c r="E9" s="63" t="str">
        <x:v>Remote Sensing Analyst</x:v>
      </x:c>
      <x:c r="F9" s="64" t="n">
        <x:f>IFERROR(VLOOKUP(E9,Role_Rates!$A$5:$H$25,6,FALSE),0)</x:f>
        <x:v>9.5875</x:v>
      </x:c>
      <x:c r="G9" s="64" t="n">
        <x:f>IFERROR(F9/D9,0)</x:f>
        <x:v>4.79375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6.375687500000001</x:v>
      </x:c>
      <x:c r="P9" s="66" t="n">
        <x:f>Assumptions!$B$6</x:f>
        <x:v>0.35</x:v>
      </x:c>
      <x:c r="Q9" s="64" t="n">
        <x:f>IFERROR(O9/(1-P9),0)</x:f>
        <x:v>9.80875</x:v>
      </x:c>
      <x:c r="R9" s="66" t="n">
        <x:f>IFERROR(VLOOKUP(C9,Assumptions!$G$5:$H$9,2,TRUE),0)</x:f>
        <x:v>0.03</x:v>
      </x:c>
      <x:c r="S9" s="67" t="n">
        <x:v>0</x:v>
      </x:c>
      <x:c r="T9" s="64" t="n">
        <x:f>Q9*(1-R9)*(1+S9)</x:f>
        <x:v>9.5144875</x:v>
      </x:c>
      <x:c r="U9" s="64" t="n">
        <x:f>C9*T9</x:f>
        <x:v>4757.24375</x:v>
      </x:c>
    </x:row>
    <x:row r="10">
      <x:c r="A10" s="42" t="str">
        <x:v>Object / feature extraction</x:v>
      </x:c>
      <x:c r="B10" s="42" t="str">
        <x:v>feature</x:v>
      </x:c>
      <x:c r="C10" s="62" t="n">
        <x:v>10000</x:v>
      </x:c>
      <x:c r="D10" s="62" t="n">
        <x:v>25</x:v>
      </x:c>
      <x:c r="E10" s="63" t="str">
        <x:v>GIS Analyst</x:v>
      </x:c>
      <x:c r="F10" s="64" t="n">
        <x:f>IFERROR(VLOOKUP(E10,Role_Rates!$A$5:$H$25,6,FALSE),0)</x:f>
        <x:v>6.637499999999999</x:v>
      </x:c>
      <x:c r="G10" s="64" t="n">
        <x:f>IFERROR(F10/D10,0)</x:f>
        <x:v>0.26549999999999996</x:v>
      </x:c>
      <x:c r="H10" s="65" t="n">
        <x:v>0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0.4413937499999999</x:v>
      </x:c>
      <x:c r="P10" s="66" t="n">
        <x:f>Assumptions!$B$6</x:f>
        <x:v>0.35</x:v>
      </x:c>
      <x:c r="Q10" s="64" t="n">
        <x:f>IFERROR(O10/(1-P10),0)</x:f>
        <x:v>0.6790673076923075</x:v>
      </x:c>
      <x:c r="R10" s="66" t="n">
        <x:f>IFERROR(VLOOKUP(C10,Assumptions!$G$5:$H$9,2,TRUE),0)</x:f>
        <x:v>0.1</x:v>
      </x:c>
      <x:c r="S10" s="67" t="n">
        <x:v>0</x:v>
      </x:c>
      <x:c r="T10" s="64" t="n">
        <x:f>Q10*(1-R10)*(1+S10)</x:f>
        <x:v>0.6111605769230768</x:v>
      </x:c>
      <x:c r="U10" s="64" t="n">
        <x:f>C10*T10</x:f>
        <x:v>6111.605769230768</x:v>
      </x:c>
    </x:row>
    <x:row r="11">
      <x:c r="A11" s="42" t="str">
        <x:v>Cloud / shadow masking QA</x:v>
      </x:c>
      <x:c r="B11" s="42" t="str">
        <x:v>sq-km</x:v>
      </x:c>
      <x:c r="C11" s="62" t="n">
        <x:v>500</x:v>
      </x:c>
      <x:c r="D11" s="62" t="n">
        <x:v>3</x:v>
      </x:c>
      <x:c r="E11" s="63" t="str">
        <x:v>QA Analyst</x:v>
      </x:c>
      <x:c r="F11" s="64" t="n">
        <x:f>IFERROR(VLOOKUP(E11,Role_Rates!$A$5:$H$25,6,FALSE),0)</x:f>
        <x:v>7.375</x:v>
      </x:c>
      <x:c r="G11" s="64" t="n">
        <x:f>IFERROR(F11/D11,0)</x:f>
        <x:v>2.4583333333333335</x:v>
      </x:c>
      <x:c r="H11" s="65" t="n">
        <x:v>0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3.2695833333333337</x:v>
      </x:c>
      <x:c r="P11" s="66" t="n">
        <x:f>Assumptions!$B$6</x:f>
        <x:v>0.35</x:v>
      </x:c>
      <x:c r="Q11" s="64" t="n">
        <x:f>IFERROR(O11/(1-P11),0)</x:f>
        <x:v>5.0301282051282055</x:v>
      </x:c>
      <x:c r="R11" s="66" t="n">
        <x:f>IFERROR(VLOOKUP(C11,Assumptions!$G$5:$H$9,2,TRUE),0)</x:f>
        <x:v>0.03</x:v>
      </x:c>
      <x:c r="S11" s="67" t="n">
        <x:v>0</x:v>
      </x:c>
      <x:c r="T11" s="64" t="n">
        <x:f>Q11*(1-R11)*(1+S11)</x:f>
        <x:v>4.879224358974359</x:v>
      </x:c>
      <x:c r="U11" s="64" t="n">
        <x:f>C11*T11</x:f>
        <x:v>2439.6121794871797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33586.62960737179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{AC05B36A-980F-059D-D8CA-C86D331A9009}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05B36A-980F-059D-D8CA-C86D331A9009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Cadastral / Parcel GIS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Parcel digitization, georeferencing, topology and attribute linkage.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Map sheet georeferencing</x:v>
      </x:c>
      <x:c r="B5" s="42" t="str">
        <x:v>sheet</x:v>
      </x:c>
      <x:c r="C5" s="62" t="n">
        <x:v>100</x:v>
      </x:c>
      <x:c r="D5" s="62" t="n">
        <x:v>2</x:v>
      </x:c>
      <x:c r="E5" s="63" t="str">
        <x:v>GIS Analyst</x:v>
      </x:c>
      <x:c r="F5" s="64" t="n">
        <x:f>IFERROR(VLOOKUP(E5,Role_Rates!$A$5:$H$25,6,FALSE),0)</x:f>
        <x:v>6.637499999999999</x:v>
      </x:c>
      <x:c r="G5" s="64" t="n">
        <x:f>IFERROR(F5/D5,0)</x:f>
        <x:v>3.3187499999999996</x:v>
      </x:c>
      <x:c r="H5" s="65" t="n">
        <x:v>0</x:v>
      </x:c>
      <x:c r="I5" s="63" t="str">
        <x:v>Medium</x:v>
      </x:c>
      <x:c r="J5" s="42" t="n">
        <x:f>IFERROR(VLOOKUP(I5,Assumptions!$D$5:$E$8,2,FALSE),1)</x:f>
        <x:v>1.25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5.517421875</x:v>
      </x:c>
      <x:c r="P5" s="66" t="n">
        <x:f>Assumptions!$B$6</x:f>
        <x:v>0.35</x:v>
      </x:c>
      <x:c r="Q5" s="64" t="n">
        <x:f>IFERROR(O5/(1-P5),0)</x:f>
        <x:v>8.488341346153845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8.488341346153845</x:v>
      </x:c>
      <x:c r="U5" s="64" t="n">
        <x:f>C5*T5</x:f>
        <x:v>848.8341346153845</x:v>
      </x:c>
    </x:row>
    <x:row r="6">
      <x:c r="A6" s="42" t="str">
        <x:v>Parcel boundary digitization</x:v>
      </x:c>
      <x:c r="B6" s="42" t="str">
        <x:v>parcel</x:v>
      </x:c>
      <x:c r="C6" s="62" t="n">
        <x:v>10000</x:v>
      </x:c>
      <x:c r="D6" s="62" t="n">
        <x:v>20</x:v>
      </x:c>
      <x:c r="E6" s="63" t="str">
        <x:v>GIS Analyst</x:v>
      </x:c>
      <x:c r="F6" s="64" t="n">
        <x:f>IFERROR(VLOOKUP(E6,Role_Rates!$A$5:$H$25,6,FALSE),0)</x:f>
        <x:v>6.637499999999999</x:v>
      </x:c>
      <x:c r="G6" s="64" t="n">
        <x:f>IFERROR(F6/D6,0)</x:f>
        <x:v>0.331875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0.44139375</x:v>
      </x:c>
      <x:c r="P6" s="66" t="n">
        <x:f>Assumptions!$B$6</x:f>
        <x:v>0.35</x:v>
      </x:c>
      <x:c r="Q6" s="64" t="n">
        <x:f>IFERROR(O6/(1-P6),0)</x:f>
        <x:v>0.6790673076923076</x:v>
      </x:c>
      <x:c r="R6" s="66" t="n">
        <x:f>IFERROR(VLOOKUP(C6,Assumptions!$G$5:$H$9,2,TRUE),0)</x:f>
        <x:v>0.1</x:v>
      </x:c>
      <x:c r="S6" s="67" t="n">
        <x:v>0</x:v>
      </x:c>
      <x:c r="T6" s="64" t="n">
        <x:f>Q6*(1-R6)*(1+S6)</x:f>
        <x:v>0.6111605769230769</x:v>
      </x:c>
      <x:c r="U6" s="64" t="n">
        <x:f>C6*T6</x:f>
        <x:v>6111.605769230769</x:v>
      </x:c>
    </x:row>
    <x:row r="7">
      <x:c r="A7" s="42" t="str">
        <x:v>Complex parcel / fragmented boundary</x:v>
      </x:c>
      <x:c r="B7" s="42" t="str">
        <x:v>parcel</x:v>
      </x:c>
      <x:c r="C7" s="62" t="n">
        <x:v>1000</x:v>
      </x:c>
      <x:c r="D7" s="62" t="n">
        <x:v>10</x:v>
      </x:c>
      <x:c r="E7" s="63" t="str">
        <x:v>Senior GIS Analyst</x:v>
      </x:c>
      <x:c r="F7" s="64" t="n">
        <x:f>IFERROR(VLOOKUP(E7,Role_Rates!$A$5:$H$25,6,FALSE),0)</x:f>
        <x:v>9.5875</x:v>
      </x:c>
      <x:c r="G7" s="64" t="n">
        <x:f>IFERROR(F7/D7,0)</x:f>
        <x:v>0.95875</x:v>
      </x:c>
      <x:c r="H7" s="65" t="n">
        <x:v>0</x:v>
      </x:c>
      <x:c r="I7" s="63" t="str">
        <x:v>Complex</x:v>
      </x:c>
      <x:c r="J7" s="42" t="n">
        <x:f>IFERROR(VLOOKUP(I7,Assumptions!$D$5:$E$8,2,FALSE),1)</x:f>
        <x:v>1.6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2.04022</x:v>
      </x:c>
      <x:c r="P7" s="66" t="n">
        <x:f>Assumptions!$B$6</x:f>
        <x:v>0.35</x:v>
      </x:c>
      <x:c r="Q7" s="64" t="n">
        <x:f>IFERROR(O7/(1-P7),0)</x:f>
        <x:v>3.1388000000000003</x:v>
      </x:c>
      <x:c r="R7" s="66" t="n">
        <x:f>IFERROR(VLOOKUP(C7,Assumptions!$G$5:$H$9,2,TRUE),0)</x:f>
        <x:v>0.03</x:v>
      </x:c>
      <x:c r="S7" s="67" t="n">
        <x:v>0</x:v>
      </x:c>
      <x:c r="T7" s="64" t="n">
        <x:f>Q7*(1-R7)*(1+S7)</x:f>
        <x:v>3.044636</x:v>
      </x:c>
      <x:c r="U7" s="64" t="n">
        <x:f>C7*T7</x:f>
        <x:v>3044.636</x:v>
      </x:c>
    </x:row>
    <x:row r="8">
      <x:c r="A8" s="42" t="str">
        <x:v>Parcel topology cleanup</x:v>
      </x:c>
      <x:c r="B8" s="42" t="str">
        <x:v>parcel</x:v>
      </x:c>
      <x:c r="C8" s="62" t="n">
        <x:v>10000</x:v>
      </x:c>
      <x:c r="D8" s="62" t="n">
        <x:v>30</x:v>
      </x:c>
      <x:c r="E8" s="63" t="str">
        <x:v>GIS Analyst</x:v>
      </x:c>
      <x:c r="F8" s="64" t="n">
        <x:f>IFERROR(VLOOKUP(E8,Role_Rates!$A$5:$H$25,6,FALSE),0)</x:f>
        <x:v>6.637499999999999</x:v>
      </x:c>
      <x:c r="G8" s="64" t="n">
        <x:f>IFERROR(F8/D8,0)</x:f>
        <x:v>0.22124999999999997</x:v>
      </x:c>
      <x:c r="H8" s="65" t="n">
        <x:v>0</x:v>
      </x:c>
      <x:c r="I8" s="63" t="str">
        <x:v>Standard</x:v>
      </x:c>
      <x:c r="J8" s="42" t="n">
        <x:f>IFERROR(VLOOKUP(I8,Assumptions!$D$5:$E$8,2,FALSE),1)</x:f>
        <x:v>1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0.2942625</x:v>
      </x:c>
      <x:c r="P8" s="66" t="n">
        <x:f>Assumptions!$B$6</x:f>
        <x:v>0.35</x:v>
      </x:c>
      <x:c r="Q8" s="64" t="n">
        <x:f>IFERROR(O8/(1-P8),0)</x:f>
        <x:v>0.45271153846153844</x:v>
      </x:c>
      <x:c r="R8" s="66" t="n">
        <x:f>IFERROR(VLOOKUP(C8,Assumptions!$G$5:$H$9,2,TRUE),0)</x:f>
        <x:v>0.1</x:v>
      </x:c>
      <x:c r="S8" s="67" t="n">
        <x:v>0</x:v>
      </x:c>
      <x:c r="T8" s="64" t="n">
        <x:f>Q8*(1-R8)*(1+S8)</x:f>
        <x:v>0.4074403846153846</x:v>
      </x:c>
      <x:c r="U8" s="64" t="n">
        <x:f>C8*T8</x:f>
        <x:v>4074.403846153846</x:v>
      </x:c>
    </x:row>
    <x:row r="9">
      <x:c r="A9" s="42" t="str">
        <x:v>Parcel attribute linkage</x:v>
      </x:c>
      <x:c r="B9" s="42" t="str">
        <x:v>parcel</x:v>
      </x:c>
      <x:c r="C9" s="62" t="n">
        <x:v>10000</x:v>
      </x:c>
      <x:c r="D9" s="62" t="n">
        <x:v>35</x:v>
      </x:c>
      <x:c r="E9" s="63" t="str">
        <x:v>Data Operator</x:v>
      </x:c>
      <x:c r="F9" s="64" t="n">
        <x:f>IFERROR(VLOOKUP(E9,Role_Rates!$A$5:$H$25,6,FALSE),0)</x:f>
        <x:v>5.363636363636364</x:v>
      </x:c>
      <x:c r="G9" s="64" t="n">
        <x:f>IFERROR(F9/D9,0)</x:f>
        <x:v>0.15324675324675327</x:v>
      </x:c>
      <x:c r="H9" s="65" t="n">
        <x:v>0</x:v>
      </x:c>
      <x:c r="I9" s="63" t="str">
        <x:v>Simple</x:v>
      </x:c>
      <x:c r="J9" s="42" t="n">
        <x:f>IFERROR(VLOOKUP(I9,Assumptions!$D$5:$E$8,2,FALSE),1)</x:f>
        <x:v>0.85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0.17324545454545456</x:v>
      </x:c>
      <x:c r="P9" s="66" t="n">
        <x:f>Assumptions!$B$6</x:f>
        <x:v>0.35</x:v>
      </x:c>
      <x:c r="Q9" s="64" t="n">
        <x:f>IFERROR(O9/(1-P9),0)</x:f>
        <x:v>0.26653146853146853</x:v>
      </x:c>
      <x:c r="R9" s="66" t="n">
        <x:f>IFERROR(VLOOKUP(C9,Assumptions!$G$5:$H$9,2,TRUE),0)</x:f>
        <x:v>0.1</x:v>
      </x:c>
      <x:c r="S9" s="67" t="n">
        <x:v>0</x:v>
      </x:c>
      <x:c r="T9" s="64" t="n">
        <x:f>Q9*(1-R9)*(1+S9)</x:f>
        <x:v>0.23987832167832168</x:v>
      </x:c>
      <x:c r="U9" s="64" t="n">
        <x:f>C9*T9</x:f>
        <x:v>2398.7832167832166</x:v>
      </x:c>
    </x:row>
    <x:row r="10">
      <x:c r="A10" s="42" t="str">
        <x:v>Deed / record reference linkage</x:v>
      </x:c>
      <x:c r="B10" s="42" t="str">
        <x:v>record</x:v>
      </x:c>
      <x:c r="C10" s="62" t="n">
        <x:v>10000</x:v>
      </x:c>
      <x:c r="D10" s="62" t="n">
        <x:v>25</x:v>
      </x:c>
      <x:c r="E10" s="63" t="str">
        <x:v>Data Operator</x:v>
      </x:c>
      <x:c r="F10" s="64" t="n">
        <x:f>IFERROR(VLOOKUP(E10,Role_Rates!$A$5:$H$25,6,FALSE),0)</x:f>
        <x:v>5.363636363636364</x:v>
      </x:c>
      <x:c r="G10" s="64" t="n">
        <x:f>IFERROR(F10/D10,0)</x:f>
        <x:v>0.21454545454545457</x:v>
      </x:c>
      <x:c r="H10" s="65" t="n">
        <x:v>0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0.28534545454545457</x:v>
      </x:c>
      <x:c r="P10" s="66" t="n">
        <x:f>Assumptions!$B$6</x:f>
        <x:v>0.35</x:v>
      </x:c>
      <x:c r="Q10" s="64" t="n">
        <x:f>IFERROR(O10/(1-P10),0)</x:f>
        <x:v>0.43899300699300703</x:v>
      </x:c>
      <x:c r="R10" s="66" t="n">
        <x:f>IFERROR(VLOOKUP(C10,Assumptions!$G$5:$H$9,2,TRUE),0)</x:f>
        <x:v>0.1</x:v>
      </x:c>
      <x:c r="S10" s="67" t="n">
        <x:v>0</x:v>
      </x:c>
      <x:c r="T10" s="64" t="n">
        <x:f>Q10*(1-R10)*(1+S10)</x:f>
        <x:v>0.3950937062937063</x:v>
      </x:c>
      <x:c r="U10" s="64" t="n">
        <x:f>C10*T10</x:f>
        <x:v>3950.9370629370633</x:v>
      </x:c>
    </x:row>
    <x:row r="11">
      <x:c r="A11" s="42" t="str">
        <x:v>Parcel QA audit</x:v>
      </x:c>
      <x:c r="B11" s="42" t="str">
        <x:v>parcel</x:v>
      </x:c>
      <x:c r="C11" s="62" t="n">
        <x:v>10000</x:v>
      </x:c>
      <x:c r="D11" s="62" t="n">
        <x:v>50</x:v>
      </x:c>
      <x:c r="E11" s="63" t="str">
        <x:v>QA Analyst</x:v>
      </x:c>
      <x:c r="F11" s="64" t="n">
        <x:f>IFERROR(VLOOKUP(E11,Role_Rates!$A$5:$H$25,6,FALSE),0)</x:f>
        <x:v>7.375</x:v>
      </x:c>
      <x:c r="G11" s="64" t="n">
        <x:f>IFERROR(F11/D11,0)</x:f>
        <x:v>0.1475</x:v>
      </x:c>
      <x:c r="H11" s="65" t="n">
        <x:v>0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0.196175</x:v>
      </x:c>
      <x:c r="P11" s="66" t="n">
        <x:f>Assumptions!$B$6</x:f>
        <x:v>0.35</x:v>
      </x:c>
      <x:c r="Q11" s="64" t="n">
        <x:f>IFERROR(O11/(1-P11),0)</x:f>
        <x:v>0.3018076923076923</x:v>
      </x:c>
      <x:c r="R11" s="66" t="n">
        <x:f>IFERROR(VLOOKUP(C11,Assumptions!$G$5:$H$9,2,TRUE),0)</x:f>
        <x:v>0.1</x:v>
      </x:c>
      <x:c r="S11" s="67" t="n">
        <x:v>0</x:v>
      </x:c>
      <x:c r="T11" s="64" t="n">
        <x:f>Q11*(1-R11)*(1+S11)</x:f>
        <x:v>0.27162692307692304</x:v>
      </x:c>
      <x:c r="U11" s="64" t="n">
        <x:f>C11*T11</x:f>
        <x:v>2716.2692307692305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23145.46926048951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{DC83C46D-4692-446D-FAB0-054F893BCE3C}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C83C46D-4692-446D-FAB0-054F893BCE3C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Land Use / Change Detection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Classification and temporal change analytics for imagery programs.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LULC classification</x:v>
      </x:c>
      <x:c r="B5" s="42" t="str">
        <x:v>sq-km</x:v>
      </x:c>
      <x:c r="C5" s="62" t="n">
        <x:v>500</x:v>
      </x:c>
      <x:c r="D5" s="62" t="n">
        <x:v>1</x:v>
      </x:c>
      <x:c r="E5" s="63" t="str">
        <x:v>Remote Sensing Analyst</x:v>
      </x:c>
      <x:c r="F5" s="64" t="n">
        <x:f>IFERROR(VLOOKUP(E5,Role_Rates!$A$5:$H$25,6,FALSE),0)</x:f>
        <x:v>9.5875</x:v>
      </x:c>
      <x:c r="G5" s="64" t="n">
        <x:f>IFERROR(F5/D5,0)</x:f>
        <x:v>9.5875</x:v>
      </x:c>
      <x:c r="H5" s="65" t="n">
        <x:v>0</x:v>
      </x:c>
      <x:c r="I5" s="63" t="str">
        <x:v>Medium</x:v>
      </x:c>
      <x:c r="J5" s="42" t="n">
        <x:f>IFERROR(VLOOKUP(I5,Assumptions!$D$5:$E$8,2,FALSE),1)</x:f>
        <x:v>1.25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15.93921875</x:v>
      </x:c>
      <x:c r="P5" s="66" t="n">
        <x:f>Assumptions!$B$6</x:f>
        <x:v>0.35</x:v>
      </x:c>
      <x:c r="Q5" s="64" t="n">
        <x:f>IFERROR(O5/(1-P5),0)</x:f>
        <x:v>24.521874999999998</x:v>
      </x:c>
      <x:c r="R5" s="66" t="n">
        <x:f>IFERROR(VLOOKUP(C5,Assumptions!$G$5:$H$9,2,TRUE),0)</x:f>
        <x:v>0.03</x:v>
      </x:c>
      <x:c r="S5" s="67" t="n">
        <x:v>0</x:v>
      </x:c>
      <x:c r="T5" s="64" t="n">
        <x:f>Q5*(1-R5)*(1+S5)</x:f>
        <x:v>23.786218749999996</x:v>
      </x:c>
      <x:c r="U5" s="64" t="n">
        <x:f>C5*T5</x:f>
        <x:v>11893.109374999998</x:v>
      </x:c>
    </x:row>
    <x:row r="6">
      <x:c r="A6" s="42" t="str">
        <x:v>Change detection — raster</x:v>
      </x:c>
      <x:c r="B6" s="42" t="str">
        <x:v>sq-km</x:v>
      </x:c>
      <x:c r="C6" s="62" t="n">
        <x:v>500</x:v>
      </x:c>
      <x:c r="D6" s="62" t="n">
        <x:v>1.5</x:v>
      </x:c>
      <x:c r="E6" s="63" t="str">
        <x:v>Remote Sensing Analyst</x:v>
      </x:c>
      <x:c r="F6" s="64" t="n">
        <x:f>IFERROR(VLOOKUP(E6,Role_Rates!$A$5:$H$25,6,FALSE),0)</x:f>
        <x:v>9.5875</x:v>
      </x:c>
      <x:c r="G6" s="64" t="n">
        <x:f>IFERROR(F6/D6,0)</x:f>
        <x:v>6.391666666666667</x:v>
      </x:c>
      <x:c r="H6" s="65" t="n">
        <x:v>0</x:v>
      </x:c>
      <x:c r="I6" s="63" t="str">
        <x:v>Medium</x:v>
      </x:c>
      <x:c r="J6" s="42" t="n">
        <x:f>IFERROR(VLOOKUP(I6,Assumptions!$D$5:$E$8,2,FALSE),1)</x:f>
        <x:v>1.25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10.626145833333334</x:v>
      </x:c>
      <x:c r="P6" s="66" t="n">
        <x:f>Assumptions!$B$6</x:f>
        <x:v>0.35</x:v>
      </x:c>
      <x:c r="Q6" s="64" t="n">
        <x:f>IFERROR(O6/(1-P6),0)</x:f>
        <x:v>16.347916666666666</x:v>
      </x:c>
      <x:c r="R6" s="66" t="n">
        <x:f>IFERROR(VLOOKUP(C6,Assumptions!$G$5:$H$9,2,TRUE),0)</x:f>
        <x:v>0.03</x:v>
      </x:c>
      <x:c r="S6" s="67" t="n">
        <x:v>0</x:v>
      </x:c>
      <x:c r="T6" s="64" t="n">
        <x:f>Q6*(1-R6)*(1+S6)</x:f>
        <x:v>15.857479166666666</x:v>
      </x:c>
      <x:c r="U6" s="64" t="n">
        <x:f>C6*T6</x:f>
        <x:v>7928.739583333333</x:v>
      </x:c>
    </x:row>
    <x:row r="7">
      <x:c r="A7" s="42" t="str">
        <x:v>Change polygon validation</x:v>
      </x:c>
      <x:c r="B7" s="42" t="str">
        <x:v>feature</x:v>
      </x:c>
      <x:c r="C7" s="62" t="n">
        <x:v>5000</x:v>
      </x:c>
      <x:c r="D7" s="62" t="n">
        <x:v>20</x:v>
      </x:c>
      <x:c r="E7" s="63" t="str">
        <x:v>GIS Analyst</x:v>
      </x:c>
      <x:c r="F7" s="64" t="n">
        <x:f>IFERROR(VLOOKUP(E7,Role_Rates!$A$5:$H$25,6,FALSE),0)</x:f>
        <x:v>6.637499999999999</x:v>
      </x:c>
      <x:c r="G7" s="64" t="n">
        <x:f>IFERROR(F7/D7,0)</x:f>
        <x:v>0.331875</x:v>
      </x:c>
      <x:c r="H7" s="65" t="n">
        <x:v>0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0.5517421874999999</x:v>
      </x:c>
      <x:c r="P7" s="66" t="n">
        <x:f>Assumptions!$B$6</x:f>
        <x:v>0.35</x:v>
      </x:c>
      <x:c r="Q7" s="64" t="n">
        <x:f>IFERROR(O7/(1-P7),0)</x:f>
        <x:v>0.8488341346153845</x:v>
      </x:c>
      <x:c r="R7" s="66" t="n">
        <x:f>IFERROR(VLOOKUP(C7,Assumptions!$G$5:$H$9,2,TRUE),0)</x:f>
        <x:v>0.08</x:v>
      </x:c>
      <x:c r="S7" s="67" t="n">
        <x:v>0</x:v>
      </x:c>
      <x:c r="T7" s="64" t="n">
        <x:f>Q7*(1-R7)*(1+S7)</x:f>
        <x:v>0.7809274038461538</x:v>
      </x:c>
      <x:c r="U7" s="64" t="n">
        <x:f>C7*T7</x:f>
        <x:v>3904.637019230769</x:v>
      </x:c>
    </x:row>
    <x:row r="8">
      <x:c r="A8" s="42" t="str">
        <x:v>Building footprint change</x:v>
      </x:c>
      <x:c r="B8" s="42" t="str">
        <x:v>feature</x:v>
      </x:c>
      <x:c r="C8" s="62" t="n">
        <x:v>5000</x:v>
      </x:c>
      <x:c r="D8" s="62" t="n">
        <x:v>25</x:v>
      </x:c>
      <x:c r="E8" s="63" t="str">
        <x:v>GIS Analyst</x:v>
      </x:c>
      <x:c r="F8" s="64" t="n">
        <x:f>IFERROR(VLOOKUP(E8,Role_Rates!$A$5:$H$25,6,FALSE),0)</x:f>
        <x:v>6.637499999999999</x:v>
      </x:c>
      <x:c r="G8" s="64" t="n">
        <x:f>IFERROR(F8/D8,0)</x:f>
        <x:v>0.26549999999999996</x:v>
      </x:c>
      <x:c r="H8" s="65" t="n">
        <x:v>0</x:v>
      </x:c>
      <x:c r="I8" s="63" t="str">
        <x:v>Standard</x:v>
      </x:c>
      <x:c r="J8" s="42" t="n">
        <x:f>IFERROR(VLOOKUP(I8,Assumptions!$D$5:$E$8,2,FALSE),1)</x:f>
        <x:v>1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0.35311499999999996</x:v>
      </x:c>
      <x:c r="P8" s="66" t="n">
        <x:f>Assumptions!$B$6</x:f>
        <x:v>0.35</x:v>
      </x:c>
      <x:c r="Q8" s="64" t="n">
        <x:f>IFERROR(O8/(1-P8),0)</x:f>
        <x:v>0.5432538461538461</x:v>
      </x:c>
      <x:c r="R8" s="66" t="n">
        <x:f>IFERROR(VLOOKUP(C8,Assumptions!$G$5:$H$9,2,TRUE),0)</x:f>
        <x:v>0.08</x:v>
      </x:c>
      <x:c r="S8" s="67" t="n">
        <x:v>0</x:v>
      </x:c>
      <x:c r="T8" s="64" t="n">
        <x:f>Q8*(1-R8)*(1+S8)</x:f>
        <x:v>0.4997935384615384</x:v>
      </x:c>
      <x:c r="U8" s="64" t="n">
        <x:f>C8*T8</x:f>
        <x:v>2498.967692307692</x:v>
      </x:c>
    </x:row>
    <x:row r="9">
      <x:c r="A9" s="42" t="str">
        <x:v>Road/network change review</x:v>
      </x:c>
      <x:c r="B9" s="42" t="str">
        <x:v>road-km</x:v>
      </x:c>
      <x:c r="C9" s="62" t="n">
        <x:v>1000</x:v>
      </x:c>
      <x:c r="D9" s="62" t="n">
        <x:v>2</x:v>
      </x:c>
      <x:c r="E9" s="63" t="str">
        <x:v>Navigation Editor</x:v>
      </x:c>
      <x:c r="F9" s="64" t="n">
        <x:f>IFERROR(VLOOKUP(E9,Role_Rates!$A$5:$H$25,6,FALSE),0)</x:f>
        <x:v>7.7437499999999995</x:v>
      </x:c>
      <x:c r="G9" s="64" t="n">
        <x:f>IFERROR(F9/D9,0)</x:f>
        <x:v>3.8718749999999997</x:v>
      </x:c>
      <x:c r="H9" s="65" t="n">
        <x:v>0</x:v>
      </x:c>
      <x:c r="I9" s="63" t="str">
        <x:v>Medium</x:v>
      </x:c>
      <x:c r="J9" s="42" t="n">
        <x:f>IFERROR(VLOOKUP(I9,Assumptions!$D$5:$E$8,2,FALSE),1)</x:f>
        <x:v>1.25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6.4369921875000005</x:v>
      </x:c>
      <x:c r="P9" s="66" t="n">
        <x:f>Assumptions!$B$6</x:f>
        <x:v>0.35</x:v>
      </x:c>
      <x:c r="Q9" s="64" t="n">
        <x:f>IFERROR(O9/(1-P9),0)</x:f>
        <x:v>9.903064903846154</x:v>
      </x:c>
      <x:c r="R9" s="66" t="n">
        <x:f>IFERROR(VLOOKUP(C9,Assumptions!$G$5:$H$9,2,TRUE),0)</x:f>
        <x:v>0.03</x:v>
      </x:c>
      <x:c r="S9" s="67" t="n">
        <x:v>0</x:v>
      </x:c>
      <x:c r="T9" s="64" t="n">
        <x:f>Q9*(1-R9)*(1+S9)</x:f>
        <x:v>9.605972956730769</x:v>
      </x:c>
      <x:c r="U9" s="64" t="n">
        <x:f>C9*T9</x:f>
        <x:v>9605.97295673077</x:v>
      </x:c>
    </x:row>
    <x:row r="10">
      <x:c r="A10" s="42" t="str">
        <x:v>Class accuracy sampling</x:v>
      </x:c>
      <x:c r="B10" s="42" t="str">
        <x:v>sample</x:v>
      </x:c>
      <x:c r="C10" s="62" t="n">
        <x:v>5000</x:v>
      </x:c>
      <x:c r="D10" s="62" t="n">
        <x:v>40</x:v>
      </x:c>
      <x:c r="E10" s="63" t="str">
        <x:v>QA Analyst</x:v>
      </x:c>
      <x:c r="F10" s="64" t="n">
        <x:f>IFERROR(VLOOKUP(E10,Role_Rates!$A$5:$H$25,6,FALSE),0)</x:f>
        <x:v>7.375</x:v>
      </x:c>
      <x:c r="G10" s="64" t="n">
        <x:f>IFERROR(F10/D10,0)</x:f>
        <x:v>0.184375</x:v>
      </x:c>
      <x:c r="H10" s="65" t="n">
        <x:v>0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0.24521875000000004</x:v>
      </x:c>
      <x:c r="P10" s="66" t="n">
        <x:f>Assumptions!$B$6</x:f>
        <x:v>0.35</x:v>
      </x:c>
      <x:c r="Q10" s="64" t="n">
        <x:f>IFERROR(O10/(1-P10),0)</x:f>
        <x:v>0.37725961538461544</x:v>
      </x:c>
      <x:c r="R10" s="66" t="n">
        <x:f>IFERROR(VLOOKUP(C10,Assumptions!$G$5:$H$9,2,TRUE),0)</x:f>
        <x:v>0.08</x:v>
      </x:c>
      <x:c r="S10" s="67" t="n">
        <x:v>0</x:v>
      </x:c>
      <x:c r="T10" s="64" t="n">
        <x:f>Q10*(1-R10)*(1+S10)</x:f>
        <x:v>0.3470788461538462</x:v>
      </x:c>
      <x:c r="U10" s="64" t="n">
        <x:f>C10*T10</x:f>
        <x:v>1735.394230769231</x:v>
      </x:c>
    </x:row>
    <x:row r="12">
      <x:c r="A12" s="45" t="str">
        <x:v>Calculated Project Sell Value</x:v>
      </x:c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50" t="n">
        <x:f>MAX(SUM(U5:U10),Assumptions!$B$14)</x:f>
        <x:v>37566.8208573718</x:v>
      </x:c>
    </x:row>
    <x:row r="14" ht="28" customHeight="1">
      <x:c r="A14" s="34" t="str">
        <x:v>How to use: edit yellow input cells (Qty, Productivity, Role, Other Cost, Complexity, Rush %). All other rates are formula-driven from global assumptions and role costs.</x:v>
      </x:c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</x:row>
  </x:sheetData>
  <x:mergeCells>
    <x:mergeCell ref="A1:U1"/>
    <x:mergeCell ref="A2:U2"/>
    <x:mergeCell ref="A12:T12"/>
    <x:mergeCell ref="A14:U14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{C4DF9D92-BE86-5EFE-AD77-3D6EC84EAF53}</x14:id>
        </x:ext>
      </x:extLst>
    </x:cfRule>
  </x:conditionalFormatting>
  <x:dataValidations count="2">
    <x:dataValidation type="list" sqref="I5:I10">
      <x:formula1>"Simple,Standard,Medium,Complex"</x:formula1>
    </x:dataValidation>
    <x:dataValidation type="list" sqref="E5:E10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4DF9D92-BE86-5EFE-AD77-3D6EC84EAF53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GIS Digitization &amp; Feature Extraction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General-purpose template for point, line and polygon extraction from imagery, CAD, PDFs or scans.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Point feature digitization</x:v>
      </x:c>
      <x:c r="B5" s="42" t="str">
        <x:v>feature</x:v>
      </x:c>
      <x:c r="C5" s="62" t="n">
        <x:v>10000</x:v>
      </x:c>
      <x:c r="D5" s="62" t="n">
        <x:v>40</x:v>
      </x:c>
      <x:c r="E5" s="63" t="str">
        <x:v>GIS Analyst</x:v>
      </x:c>
      <x:c r="F5" s="64" t="n">
        <x:f>IFERROR(VLOOKUP(E5,Role_Rates!$A$5:$H$25,6,FALSE),0)</x:f>
        <x:v>6.637499999999999</x:v>
      </x:c>
      <x:c r="G5" s="64" t="n">
        <x:f>IFERROR(F5/D5,0)</x:f>
        <x:v>0.1659375</x:v>
      </x:c>
      <x:c r="H5" s="65" t="n">
        <x:v>0</x:v>
      </x:c>
      <x:c r="I5" s="63" t="str">
        <x:v>Simple</x:v>
      </x:c>
      <x:c r="J5" s="42" t="n">
        <x:f>IFERROR(VLOOKUP(I5,Assumptions!$D$5:$E$8,2,FALSE),1)</x:f>
        <x:v>0.85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0.18759234375</x:v>
      </x:c>
      <x:c r="P5" s="66" t="n">
        <x:f>Assumptions!$B$6</x:f>
        <x:v>0.35</x:v>
      </x:c>
      <x:c r="Q5" s="64" t="n">
        <x:f>IFERROR(O5/(1-P5),0)</x:f>
        <x:v>0.2886036057692308</x:v>
      </x:c>
      <x:c r="R5" s="66" t="n">
        <x:f>IFERROR(VLOOKUP(C5,Assumptions!$G$5:$H$9,2,TRUE),0)</x:f>
        <x:v>0.1</x:v>
      </x:c>
      <x:c r="S5" s="67" t="n">
        <x:v>0</x:v>
      </x:c>
      <x:c r="T5" s="64" t="n">
        <x:f>Q5*(1-R5)*(1+S5)</x:f>
        <x:v>0.2597432451923077</x:v>
      </x:c>
      <x:c r="U5" s="64" t="n">
        <x:f>C5*T5</x:f>
        <x:v>2597.4324519230768</x:v>
      </x:c>
    </x:row>
    <x:row r="6">
      <x:c r="A6" s="42" t="str">
        <x:v>Line feature digitization</x:v>
      </x:c>
      <x:c r="B6" s="42" t="str">
        <x:v>feature</x:v>
      </x:c>
      <x:c r="C6" s="62" t="n">
        <x:v>5000</x:v>
      </x:c>
      <x:c r="D6" s="62" t="n">
        <x:v>20</x:v>
      </x:c>
      <x:c r="E6" s="63" t="str">
        <x:v>GIS Analyst</x:v>
      </x:c>
      <x:c r="F6" s="64" t="n">
        <x:f>IFERROR(VLOOKUP(E6,Role_Rates!$A$5:$H$25,6,FALSE),0)</x:f>
        <x:v>6.637499999999999</x:v>
      </x:c>
      <x:c r="G6" s="64" t="n">
        <x:f>IFERROR(F6/D6,0)</x:f>
        <x:v>0.331875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0.44139375</x:v>
      </x:c>
      <x:c r="P6" s="66" t="n">
        <x:f>Assumptions!$B$6</x:f>
        <x:v>0.35</x:v>
      </x:c>
      <x:c r="Q6" s="64" t="n">
        <x:f>IFERROR(O6/(1-P6),0)</x:f>
        <x:v>0.6790673076923076</x:v>
      </x:c>
      <x:c r="R6" s="66" t="n">
        <x:f>IFERROR(VLOOKUP(C6,Assumptions!$G$5:$H$9,2,TRUE),0)</x:f>
        <x:v>0.08</x:v>
      </x:c>
      <x:c r="S6" s="67" t="n">
        <x:v>0</x:v>
      </x:c>
      <x:c r="T6" s="64" t="n">
        <x:f>Q6*(1-R6)*(1+S6)</x:f>
        <x:v>0.624741923076923</x:v>
      </x:c>
      <x:c r="U6" s="64" t="n">
        <x:f>C6*T6</x:f>
        <x:v>3123.709615384615</x:v>
      </x:c>
    </x:row>
    <x:row r="7">
      <x:c r="A7" s="42" t="str">
        <x:v>Polygon feature digitization</x:v>
      </x:c>
      <x:c r="B7" s="42" t="str">
        <x:v>feature</x:v>
      </x:c>
      <x:c r="C7" s="62" t="n">
        <x:v>3000</x:v>
      </x:c>
      <x:c r="D7" s="62" t="n">
        <x:v>12</x:v>
      </x:c>
      <x:c r="E7" s="63" t="str">
        <x:v>GIS Analyst</x:v>
      </x:c>
      <x:c r="F7" s="64" t="n">
        <x:f>IFERROR(VLOOKUP(E7,Role_Rates!$A$5:$H$25,6,FALSE),0)</x:f>
        <x:v>6.637499999999999</x:v>
      </x:c>
      <x:c r="G7" s="64" t="n">
        <x:f>IFERROR(F7/D7,0)</x:f>
        <x:v>0.553125</x:v>
      </x:c>
      <x:c r="H7" s="65" t="n">
        <x:v>0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0.73565625</x:v>
      </x:c>
      <x:c r="P7" s="66" t="n">
        <x:f>Assumptions!$B$6</x:f>
        <x:v>0.35</x:v>
      </x:c>
      <x:c r="Q7" s="64" t="n">
        <x:f>IFERROR(O7/(1-P7),0)</x:f>
        <x:v>1.131778846153846</x:v>
      </x:c>
      <x:c r="R7" s="66" t="n">
        <x:f>IFERROR(VLOOKUP(C7,Assumptions!$G$5:$H$9,2,TRUE),0)</x:f>
        <x:v>0.05</x:v>
      </x:c>
      <x:c r="S7" s="67" t="n">
        <x:v>0</x:v>
      </x:c>
      <x:c r="T7" s="64" t="n">
        <x:f>Q7*(1-R7)*(1+S7)</x:f>
        <x:v>1.0751899038461536</x:v>
      </x:c>
      <x:c r="U7" s="64" t="n">
        <x:f>C7*T7</x:f>
        <x:v>3225.569711538461</x:v>
      </x:c>
    </x:row>
    <x:row r="8">
      <x:c r="A8" s="42" t="str">
        <x:v>Complex polygon / multipart</x:v>
      </x:c>
      <x:c r="B8" s="42" t="str">
        <x:v>feature</x:v>
      </x:c>
      <x:c r="C8" s="62" t="n">
        <x:v>500</x:v>
      </x:c>
      <x:c r="D8" s="62" t="n">
        <x:v>6</x:v>
      </x:c>
      <x:c r="E8" s="63" t="str">
        <x:v>Senior GIS Analyst</x:v>
      </x:c>
      <x:c r="F8" s="64" t="n">
        <x:f>IFERROR(VLOOKUP(E8,Role_Rates!$A$5:$H$25,6,FALSE),0)</x:f>
        <x:v>9.5875</x:v>
      </x:c>
      <x:c r="G8" s="64" t="n">
        <x:f>IFERROR(F8/D8,0)</x:f>
        <x:v>1.5979166666666667</x:v>
      </x:c>
      <x:c r="H8" s="65" t="n">
        <x:v>0</x:v>
      </x:c>
      <x:c r="I8" s="63" t="str">
        <x:v>Complex</x:v>
      </x:c>
      <x:c r="J8" s="42" t="n">
        <x:f>IFERROR(VLOOKUP(I8,Assumptions!$D$5:$E$8,2,FALSE),1)</x:f>
        <x:v>1.6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3.4003666666666668</x:v>
      </x:c>
      <x:c r="P8" s="66" t="n">
        <x:f>Assumptions!$B$6</x:f>
        <x:v>0.35</x:v>
      </x:c>
      <x:c r="Q8" s="64" t="n">
        <x:f>IFERROR(O8/(1-P8),0)</x:f>
        <x:v>5.231333333333334</x:v>
      </x:c>
      <x:c r="R8" s="66" t="n">
        <x:f>IFERROR(VLOOKUP(C8,Assumptions!$G$5:$H$9,2,TRUE),0)</x:f>
        <x:v>0.03</x:v>
      </x:c>
      <x:c r="S8" s="67" t="n">
        <x:v>0</x:v>
      </x:c>
      <x:c r="T8" s="64" t="n">
        <x:f>Q8*(1-R8)*(1+S8)</x:f>
        <x:v>5.074393333333333</x:v>
      </x:c>
      <x:c r="U8" s="64" t="n">
        <x:f>C8*T8</x:f>
        <x:v>2537.1966666666667</x:v>
      </x:c>
    </x:row>
    <x:row r="9">
      <x:c r="A9" s="42" t="str">
        <x:v>Attribute population</x:v>
      </x:c>
      <x:c r="B9" s="42" t="str">
        <x:v>record</x:v>
      </x:c>
      <x:c r="C9" s="62" t="n">
        <x:v>10000</x:v>
      </x:c>
      <x:c r="D9" s="62" t="n">
        <x:v>35</x:v>
      </x:c>
      <x:c r="E9" s="63" t="str">
        <x:v>Data Operator</x:v>
      </x:c>
      <x:c r="F9" s="64" t="n">
        <x:f>IFERROR(VLOOKUP(E9,Role_Rates!$A$5:$H$25,6,FALSE),0)</x:f>
        <x:v>5.363636363636364</x:v>
      </x:c>
      <x:c r="G9" s="64" t="n">
        <x:f>IFERROR(F9/D9,0)</x:f>
        <x:v>0.15324675324675327</x:v>
      </x:c>
      <x:c r="H9" s="65" t="n">
        <x:v>0</x:v>
      </x:c>
      <x:c r="I9" s="63" t="str">
        <x:v>Simple</x:v>
      </x:c>
      <x:c r="J9" s="42" t="n">
        <x:f>IFERROR(VLOOKUP(I9,Assumptions!$D$5:$E$8,2,FALSE),1)</x:f>
        <x:v>0.85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0.17324545454545456</x:v>
      </x:c>
      <x:c r="P9" s="66" t="n">
        <x:f>Assumptions!$B$6</x:f>
        <x:v>0.35</x:v>
      </x:c>
      <x:c r="Q9" s="64" t="n">
        <x:f>IFERROR(O9/(1-P9),0)</x:f>
        <x:v>0.26653146853146853</x:v>
      </x:c>
      <x:c r="R9" s="66" t="n">
        <x:f>IFERROR(VLOOKUP(C9,Assumptions!$G$5:$H$9,2,TRUE),0)</x:f>
        <x:v>0.1</x:v>
      </x:c>
      <x:c r="S9" s="67" t="n">
        <x:v>0</x:v>
      </x:c>
      <x:c r="T9" s="64" t="n">
        <x:f>Q9*(1-R9)*(1+S9)</x:f>
        <x:v>0.23987832167832168</x:v>
      </x:c>
      <x:c r="U9" s="64" t="n">
        <x:f>C9*T9</x:f>
        <x:v>2398.7832167832166</x:v>
      </x:c>
    </x:row>
    <x:row r="10">
      <x:c r="A10" s="42" t="str">
        <x:v>Topology / geometry cleanup</x:v>
      </x:c>
      <x:c r="B10" s="42" t="str">
        <x:v>feature</x:v>
      </x:c>
      <x:c r="C10" s="62" t="n">
        <x:v>5000</x:v>
      </x:c>
      <x:c r="D10" s="62" t="n">
        <x:v>25</x:v>
      </x:c>
      <x:c r="E10" s="63" t="str">
        <x:v>GIS Analyst</x:v>
      </x:c>
      <x:c r="F10" s="64" t="n">
        <x:f>IFERROR(VLOOKUP(E10,Role_Rates!$A$5:$H$25,6,FALSE),0)</x:f>
        <x:v>6.637499999999999</x:v>
      </x:c>
      <x:c r="G10" s="64" t="n">
        <x:f>IFERROR(F10/D10,0)</x:f>
        <x:v>0.26549999999999996</x:v>
      </x:c>
      <x:c r="H10" s="65" t="n">
        <x:v>0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0.4413937499999999</x:v>
      </x:c>
      <x:c r="P10" s="66" t="n">
        <x:f>Assumptions!$B$6</x:f>
        <x:v>0.35</x:v>
      </x:c>
      <x:c r="Q10" s="64" t="n">
        <x:f>IFERROR(O10/(1-P10),0)</x:f>
        <x:v>0.6790673076923075</x:v>
      </x:c>
      <x:c r="R10" s="66" t="n">
        <x:f>IFERROR(VLOOKUP(C10,Assumptions!$G$5:$H$9,2,TRUE),0)</x:f>
        <x:v>0.08</x:v>
      </x:c>
      <x:c r="S10" s="67" t="n">
        <x:v>0</x:v>
      </x:c>
      <x:c r="T10" s="64" t="n">
        <x:f>Q10*(1-R10)*(1+S10)</x:f>
        <x:v>0.6247419230769229</x:v>
      </x:c>
      <x:c r="U10" s="64" t="n">
        <x:f>C10*T10</x:f>
        <x:v>3123.7096153846146</x:v>
      </x:c>
    </x:row>
    <x:row r="11">
      <x:c r="A11" s="42" t="str">
        <x:v>Vector-to-raster / raster-to-vector</x:v>
      </x:c>
      <x:c r="B11" s="42" t="str">
        <x:v>sq-km</x:v>
      </x:c>
      <x:c r="C11" s="62" t="n">
        <x:v>100</x:v>
      </x:c>
      <x:c r="D11" s="62" t="n">
        <x:v>2</x:v>
      </x:c>
      <x:c r="E11" s="63" t="str">
        <x:v>GIS Analyst</x:v>
      </x:c>
      <x:c r="F11" s="64" t="n">
        <x:f>IFERROR(VLOOKUP(E11,Role_Rates!$A$5:$H$25,6,FALSE),0)</x:f>
        <x:v>6.637499999999999</x:v>
      </x:c>
      <x:c r="G11" s="64" t="n">
        <x:f>IFERROR(F11/D11,0)</x:f>
        <x:v>3.3187499999999996</x:v>
      </x:c>
      <x:c r="H11" s="65" t="n">
        <x:v>0</x:v>
      </x:c>
      <x:c r="I11" s="63" t="str">
        <x:v>Medium</x:v>
      </x:c>
      <x:c r="J11" s="42" t="n">
        <x:f>IFERROR(VLOOKUP(I11,Assumptions!$D$5:$E$8,2,FALSE),1)</x:f>
        <x:v>1.25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5.517421875</x:v>
      </x:c>
      <x:c r="P11" s="66" t="n">
        <x:f>Assumptions!$B$6</x:f>
        <x:v>0.35</x:v>
      </x:c>
      <x:c r="Q11" s="64" t="n">
        <x:f>IFERROR(O11/(1-P11),0)</x:f>
        <x:v>8.488341346153845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8.488341346153845</x:v>
      </x:c>
      <x:c r="U11" s="64" t="n">
        <x:f>C11*T11</x:f>
        <x:v>848.8341346153845</x:v>
      </x:c>
    </x:row>
    <x:row r="12">
      <x:c r="A12" s="42" t="str">
        <x:v>Feature QA</x:v>
      </x:c>
      <x:c r="B12" s="42" t="str">
        <x:v>feature</x:v>
      </x:c>
      <x:c r="C12" s="62" t="n">
        <x:v>10000</x:v>
      </x:c>
      <x:c r="D12" s="62" t="n">
        <x:v>60</x:v>
      </x:c>
      <x:c r="E12" s="63" t="str">
        <x:v>QA Analyst</x:v>
      </x:c>
      <x:c r="F12" s="64" t="n">
        <x:f>IFERROR(VLOOKUP(E12,Role_Rates!$A$5:$H$25,6,FALSE),0)</x:f>
        <x:v>7.375</x:v>
      </x:c>
      <x:c r="G12" s="64" t="n">
        <x:f>IFERROR(F12/D12,0)</x:f>
        <x:v>0.12291666666666666</x:v>
      </x:c>
      <x:c r="H12" s="65" t="n">
        <x:v>0</x:v>
      </x:c>
      <x:c r="I12" s="63" t="str">
        <x:v>Standard</x:v>
      </x:c>
      <x:c r="J12" s="42" t="n">
        <x:f>IFERROR(VLOOKUP(I12,Assumptions!$D$5:$E$8,2,FALSE),1)</x:f>
        <x:v>1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0.16347916666666668</x:v>
      </x:c>
      <x:c r="P12" s="66" t="n">
        <x:f>Assumptions!$B$6</x:f>
        <x:v>0.35</x:v>
      </x:c>
      <x:c r="Q12" s="64" t="n">
        <x:f>IFERROR(O12/(1-P12),0)</x:f>
        <x:v>0.25150641025641024</x:v>
      </x:c>
      <x:c r="R12" s="66" t="n">
        <x:f>IFERROR(VLOOKUP(C12,Assumptions!$G$5:$H$9,2,TRUE),0)</x:f>
        <x:v>0.1</x:v>
      </x:c>
      <x:c r="S12" s="67" t="n">
        <x:v>0</x:v>
      </x:c>
      <x:c r="T12" s="64" t="n">
        <x:f>Q12*(1-R12)*(1+S12)</x:f>
        <x:v>0.22635576923076922</x:v>
      </x:c>
      <x:c r="U12" s="64" t="n">
        <x:f>C12*T12</x:f>
        <x:v>2263.5576923076924</x:v>
      </x:c>
    </x:row>
    <x:row r="14">
      <x:c r="A14" s="45" t="str">
        <x:v>Calculated Project Sell Value</x:v>
      </x:c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50" t="n">
        <x:f>MAX(SUM(U5:U12),Assumptions!$B$14)</x:f>
        <x:v>20118.793104603727</x:v>
      </x:c>
    </x:row>
    <x:row r="16" ht="28" customHeight="1">
      <x:c r="A16" s="34" t="str">
        <x:v>How to use: edit yellow input cells (Qty, Productivity, Role, Other Cost, Complexity, Rush %). All other rates are formula-driven from global assumptions and role costs.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</x:row>
  </x:sheetData>
  <x:mergeCells>
    <x:mergeCell ref="A1:U1"/>
    <x:mergeCell ref="A2:U2"/>
    <x:mergeCell ref="A14:T14"/>
    <x:mergeCell ref="A16:U16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{4400AC51-7EF2-9FDF-9142-A7F5280B487D}</x14:id>
        </x:ext>
      </x:extLst>
    </x:cfRule>
  </x:conditionalFormatting>
  <x:dataValidations count="2">
    <x:dataValidation type="list" sqref="I5:I12">
      <x:formula1>"Simple,Standard,Medium,Complex"</x:formula1>
    </x:dataValidation>
    <x:dataValidation type="list" sqref="E5:E12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400AC51-7EF2-9FDF-9142-A7F5280B487D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Geocoding / Address Validation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Combine automated API pass-through costs with analyst review and correction.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Batch geocoding — automated</x:v>
      </x:c>
      <x:c r="B5" s="42" t="str">
        <x:v>1,000 records</x:v>
      </x:c>
      <x:c r="C5" s="62" t="n">
        <x:v>100</x:v>
      </x:c>
      <x:c r="D5" s="62" t="n">
        <x:v>5</x:v>
      </x:c>
      <x:c r="E5" s="63" t="str">
        <x:v>Data Engineer</x:v>
      </x:c>
      <x:c r="F5" s="64" t="n">
        <x:f>IFERROR(VLOOKUP(E5,Role_Rates!$A$5:$H$25,6,FALSE),0)</x:f>
        <x:v>17.306666666666665</x:v>
      </x:c>
      <x:c r="G5" s="64" t="n">
        <x:f>IFERROR(F5/D5,0)</x:f>
        <x:v>3.461333333333333</x:v>
      </x:c>
      <x:c r="H5" s="65" t="n">
        <x:v>1.5</x:v>
      </x:c>
      <x:c r="I5" s="63" t="str">
        <x:v>Simple</x:v>
      </x:c>
      <x:c r="J5" s="42" t="n">
        <x:f>IFERROR(VLOOKUP(I5,Assumptions!$D$5:$E$8,2,FALSE),1)</x:f>
        <x:v>0.85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5.608787333333333</x:v>
      </x:c>
      <x:c r="P5" s="66" t="n">
        <x:f>Assumptions!$B$6</x:f>
        <x:v>0.35</x:v>
      </x:c>
      <x:c r="Q5" s="64" t="n">
        <x:f>IFERROR(O5/(1-P5),0)</x:f>
        <x:v>8.628903589743588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8.628903589743588</x:v>
      </x:c>
      <x:c r="U5" s="64" t="n">
        <x:f>C5*T5</x:f>
        <x:v>862.8903589743588</x:v>
      </x:c>
    </x:row>
    <x:row r="6">
      <x:c r="A6" s="42" t="str">
        <x:v>Address validation API</x:v>
      </x:c>
      <x:c r="B6" s="42" t="str">
        <x:v>1,000 records</x:v>
      </x:c>
      <x:c r="C6" s="62" t="n">
        <x:v>50</x:v>
      </x:c>
      <x:c r="D6" s="62" t="n">
        <x:v>5</x:v>
      </x:c>
      <x:c r="E6" s="63" t="str">
        <x:v>Data Engineer</x:v>
      </x:c>
      <x:c r="F6" s="64" t="n">
        <x:f>IFERROR(VLOOKUP(E6,Role_Rates!$A$5:$H$25,6,FALSE),0)</x:f>
        <x:v>17.306666666666665</x:v>
      </x:c>
      <x:c r="G6" s="64" t="n">
        <x:f>IFERROR(F6/D6,0)</x:f>
        <x:v>3.461333333333333</x:v>
      </x:c>
      <x:c r="H6" s="65" t="n">
        <x:v>5.1</x:v>
      </x:c>
      <x:c r="I6" s="63" t="str">
        <x:v>Simple</x:v>
      </x:c>
      <x:c r="J6" s="42" t="n">
        <x:f>IFERROR(VLOOKUP(I6,Assumptions!$D$5:$E$8,2,FALSE),1)</x:f>
        <x:v>0.85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9.678587333333335</x:v>
      </x:c>
      <x:c r="P6" s="66" t="n">
        <x:f>Assumptions!$B$6</x:f>
        <x:v>0.35</x:v>
      </x:c>
      <x:c r="Q6" s="64" t="n">
        <x:f>IFERROR(O6/(1-P6),0)</x:f>
        <x:v>14.890134358974361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14.890134358974361</x:v>
      </x:c>
      <x:c r="U6" s="64" t="n">
        <x:f>C6*T6</x:f>
        <x:v>744.506717948718</x:v>
      </x:c>
    </x:row>
    <x:row r="7">
      <x:c r="A7" s="42" t="str">
        <x:v>Manual unmatched address review</x:v>
      </x:c>
      <x:c r="B7" s="42" t="str">
        <x:v>record</x:v>
      </x:c>
      <x:c r="C7" s="62" t="n">
        <x:v>2000</x:v>
      </x:c>
      <x:c r="D7" s="62" t="n">
        <x:v>18</x:v>
      </x:c>
      <x:c r="E7" s="63" t="str">
        <x:v>POI/Address Analyst</x:v>
      </x:c>
      <x:c r="F7" s="64" t="n">
        <x:f>IFERROR(VLOOKUP(E7,Role_Rates!$A$5:$H$25,6,FALSE),0)</x:f>
        <x:v>7.00625</x:v>
      </x:c>
      <x:c r="G7" s="64" t="n">
        <x:f>IFERROR(F7/D7,0)</x:f>
        <x:v>0.3892361111111111</x:v>
      </x:c>
      <x:c r="H7" s="65" t="n">
        <x:v>0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0.6471050347222222</x:v>
      </x:c>
      <x:c r="P7" s="66" t="n">
        <x:f>Assumptions!$B$6</x:f>
        <x:v>0.35</x:v>
      </x:c>
      <x:c r="Q7" s="64" t="n">
        <x:f>IFERROR(O7/(1-P7),0)</x:f>
        <x:v>0.9955462072649572</x:v>
      </x:c>
      <x:c r="R7" s="66" t="n">
        <x:f>IFERROR(VLOOKUP(C7,Assumptions!$G$5:$H$9,2,TRUE),0)</x:f>
        <x:v>0.05</x:v>
      </x:c>
      <x:c r="S7" s="67" t="n">
        <x:v>0</x:v>
      </x:c>
      <x:c r="T7" s="64" t="n">
        <x:f>Q7*(1-R7)*(1+S7)</x:f>
        <x:v>0.9457688969017093</x:v>
      </x:c>
      <x:c r="U7" s="64" t="n">
        <x:f>C7*T7</x:f>
        <x:v>1891.5377938034185</x:v>
      </x:c>
    </x:row>
    <x:row r="8">
      <x:c r="A8" s="42" t="str">
        <x:v>Coordinate correction / rooftop placement</x:v>
      </x:c>
      <x:c r="B8" s="42" t="str">
        <x:v>record</x:v>
      </x:c>
      <x:c r="C8" s="62" t="n">
        <x:v>1000</x:v>
      </x:c>
      <x:c r="D8" s="62" t="n">
        <x:v>15</x:v>
      </x:c>
      <x:c r="E8" s="63" t="str">
        <x:v>GIS Analyst</x:v>
      </x:c>
      <x:c r="F8" s="64" t="n">
        <x:f>IFERROR(VLOOKUP(E8,Role_Rates!$A$5:$H$25,6,FALSE),0)</x:f>
        <x:v>6.637499999999999</x:v>
      </x:c>
      <x:c r="G8" s="64" t="n">
        <x:f>IFERROR(F8/D8,0)</x:f>
        <x:v>0.44249999999999995</x:v>
      </x:c>
      <x:c r="H8" s="65" t="n">
        <x:v>0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0.73565625</x:v>
      </x:c>
      <x:c r="P8" s="66" t="n">
        <x:f>Assumptions!$B$6</x:f>
        <x:v>0.35</x:v>
      </x:c>
      <x:c r="Q8" s="64" t="n">
        <x:f>IFERROR(O8/(1-P8),0)</x:f>
        <x:v>1.131778846153846</x:v>
      </x:c>
      <x:c r="R8" s="66" t="n">
        <x:f>IFERROR(VLOOKUP(C8,Assumptions!$G$5:$H$9,2,TRUE),0)</x:f>
        <x:v>0.03</x:v>
      </x:c>
      <x:c r="S8" s="67" t="n">
        <x:v>0</x:v>
      </x:c>
      <x:c r="T8" s="64" t="n">
        <x:f>Q8*(1-R8)*(1+S8)</x:f>
        <x:v>1.0978254807692307</x:v>
      </x:c>
      <x:c r="U8" s="64" t="n">
        <x:f>C8*T8</x:f>
        <x:v>1097.8254807692308</x:v>
      </x:c>
    </x:row>
    <x:row r="9">
      <x:c r="A9" s="42" t="str">
        <x:v>Reverse geocode validation</x:v>
      </x:c>
      <x:c r="B9" s="42" t="str">
        <x:v>record</x:v>
      </x:c>
      <x:c r="C9" s="62" t="n">
        <x:v>2000</x:v>
      </x:c>
      <x:c r="D9" s="62" t="n">
        <x:v>25</x:v>
      </x:c>
      <x:c r="E9" s="63" t="str">
        <x:v>POI/Address Analyst</x:v>
      </x:c>
      <x:c r="F9" s="64" t="n">
        <x:f>IFERROR(VLOOKUP(E9,Role_Rates!$A$5:$H$25,6,FALSE),0)</x:f>
        <x:v>7.00625</x:v>
      </x:c>
      <x:c r="G9" s="64" t="n">
        <x:f>IFERROR(F9/D9,0)</x:f>
        <x:v>0.28025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0.3727325</x:v>
      </x:c>
      <x:c r="P9" s="66" t="n">
        <x:f>Assumptions!$B$6</x:f>
        <x:v>0.35</x:v>
      </x:c>
      <x:c r="Q9" s="64" t="n">
        <x:f>IFERROR(O9/(1-P9),0)</x:f>
        <x:v>0.5734346153846154</x:v>
      </x:c>
      <x:c r="R9" s="66" t="n">
        <x:f>IFERROR(VLOOKUP(C9,Assumptions!$G$5:$H$9,2,TRUE),0)</x:f>
        <x:v>0.05</x:v>
      </x:c>
      <x:c r="S9" s="67" t="n">
        <x:v>0</x:v>
      </x:c>
      <x:c r="T9" s="64" t="n">
        <x:f>Q9*(1-R9)*(1+S9)</x:f>
        <x:v>0.5447628846153846</x:v>
      </x:c>
      <x:c r="U9" s="64" t="n">
        <x:f>C9*T9</x:f>
        <x:v>1089.5257692307691</x:v>
      </x:c>
    </x:row>
    <x:row r="10">
      <x:c r="A10" s="42" t="str">
        <x:v>Duplicate / anomaly review</x:v>
      </x:c>
      <x:c r="B10" s="42" t="str">
        <x:v>record</x:v>
      </x:c>
      <x:c r="C10" s="62" t="n">
        <x:v>1000</x:v>
      </x:c>
      <x:c r="D10" s="62" t="n">
        <x:v>30</x:v>
      </x:c>
      <x:c r="E10" s="63" t="str">
        <x:v>POI/Address Analyst</x:v>
      </x:c>
      <x:c r="F10" s="64" t="n">
        <x:f>IFERROR(VLOOKUP(E10,Role_Rates!$A$5:$H$25,6,FALSE),0)</x:f>
        <x:v>7.00625</x:v>
      </x:c>
      <x:c r="G10" s="64" t="n">
        <x:f>IFERROR(F10/D10,0)</x:f>
        <x:v>0.23354166666666665</x:v>
      </x:c>
      <x:c r="H10" s="65" t="n">
        <x:v>0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0.31061041666666667</x:v>
      </x:c>
      <x:c r="P10" s="66" t="n">
        <x:f>Assumptions!$B$6</x:f>
        <x:v>0.35</x:v>
      </x:c>
      <x:c r="Q10" s="64" t="n">
        <x:f>IFERROR(O10/(1-P10),0)</x:f>
        <x:v>0.47786217948717946</x:v>
      </x:c>
      <x:c r="R10" s="66" t="n">
        <x:f>IFERROR(VLOOKUP(C10,Assumptions!$G$5:$H$9,2,TRUE),0)</x:f>
        <x:v>0.03</x:v>
      </x:c>
      <x:c r="S10" s="67" t="n">
        <x:v>0</x:v>
      </x:c>
      <x:c r="T10" s="64" t="n">
        <x:f>Q10*(1-R10)*(1+S10)</x:f>
        <x:v>0.46352631410256406</x:v>
      </x:c>
      <x:c r="U10" s="64" t="n">
        <x:f>C10*T10</x:f>
        <x:v>463.5263141025641</x:v>
      </x:c>
    </x:row>
    <x:row r="12">
      <x:c r="A12" s="45" t="str">
        <x:v>Calculated Project Sell Value</x:v>
      </x:c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50" t="n">
        <x:f>MAX(SUM(U5:U10),Assumptions!$B$14)</x:f>
        <x:v>6149.81243482906</x:v>
      </x:c>
    </x:row>
    <x:row r="14" ht="28" customHeight="1">
      <x:c r="A14" s="34" t="str">
        <x:v>How to use: edit yellow input cells (Qty, Productivity, Role, Other Cost, Complexity, Rush %). All other rates are formula-driven from global assumptions and role costs.</x:v>
      </x:c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</x:row>
  </x:sheetData>
  <x:mergeCells>
    <x:mergeCell ref="A1:U1"/>
    <x:mergeCell ref="A2:U2"/>
    <x:mergeCell ref="A12:T12"/>
    <x:mergeCell ref="A14:U14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{CD49325F-0D1A-54C3-41A7-BD2EE171CD38}</x14:id>
        </x:ext>
      </x:extLst>
    </x:cfRule>
  </x:conditionalFormatting>
  <x:dataValidations count="2">
    <x:dataValidation type="list" sqref="I5:I10">
      <x:formula1>"Simple,Standard,Medium,Complex"</x:formula1>
    </x:dataValidation>
    <x:dataValidation type="list" sqref="E5:E10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49325F-0D1A-54C3-41A7-BD2EE171CD38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General GIS Field Collection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Field collection priced per day, km, point, feature or site.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Field crew day</x:v>
      </x:c>
      <x:c r="B5" s="42" t="str">
        <x:v>crew-day</x:v>
      </x:c>
      <x:c r="C5" s="62" t="n">
        <x:v>10</x:v>
      </x:c>
      <x:c r="D5" s="62" t="n">
        <x:v>0.125</x:v>
      </x:c>
      <x:c r="E5" s="63" t="str">
        <x:v>Field Crew Lead</x:v>
      </x:c>
      <x:c r="F5" s="64" t="n">
        <x:f>IFERROR(VLOOKUP(E5,Role_Rates!$A$5:$H$25,6,FALSE),0)</x:f>
        <x:v>30.974999999999998</x:v>
      </x:c>
      <x:c r="G5" s="64" t="n">
        <x:f>IFERROR(F5/D5,0)</x:f>
        <x:v>247.79999999999998</x:v>
      </x:c>
      <x:c r="H5" s="65" t="n">
        <x:v>100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462.57399999999996</x:v>
      </x:c>
      <x:c r="P5" s="66" t="n">
        <x:f>Assumptions!$B$6</x:f>
        <x:v>0.35</x:v>
      </x:c>
      <x:c r="Q5" s="64" t="n">
        <x:f>IFERROR(O5/(1-P5),0)</x:f>
        <x:v>711.6523076923075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711.6523076923075</x:v>
      </x:c>
      <x:c r="U5" s="64" t="n">
        <x:f>C5*T5</x:f>
        <x:v>7116.523076923076</x:v>
      </x:c>
    </x:row>
    <x:row r="6">
      <x:c r="A6" s="42" t="str">
        <x:v>Linear route collection</x:v>
      </x:c>
      <x:c r="B6" s="42" t="str">
        <x:v>route-km</x:v>
      </x:c>
      <x:c r="C6" s="62" t="n">
        <x:v>500</x:v>
      </x:c>
      <x:c r="D6" s="62" t="n">
        <x:v>4</x:v>
      </x:c>
      <x:c r="E6" s="63" t="str">
        <x:v>Field Technician</x:v>
      </x:c>
      <x:c r="F6" s="64" t="n">
        <x:f>IFERROR(VLOOKUP(E6,Role_Rates!$A$5:$H$25,6,FALSE),0)</x:f>
        <x:v>20.65</x:v>
      </x:c>
      <x:c r="G6" s="64" t="n">
        <x:f>IFERROR(F6/D6,0)</x:f>
        <x:v>5.1625</x:v>
      </x:c>
      <x:c r="H6" s="65" t="n">
        <x:v>0.25</x:v>
      </x:c>
      <x:c r="I6" s="63" t="str">
        <x:v>Medium</x:v>
      </x:c>
      <x:c r="J6" s="42" t="n">
        <x:f>IFERROR(VLOOKUP(I6,Assumptions!$D$5:$E$8,2,FALSE),1)</x:f>
        <x:v>1.25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8.99828125</x:v>
      </x:c>
      <x:c r="P6" s="66" t="n">
        <x:f>Assumptions!$B$6</x:f>
        <x:v>0.35</x:v>
      </x:c>
      <x:c r="Q6" s="64" t="n">
        <x:f>IFERROR(O6/(1-P6),0)</x:f>
        <x:v>13.843509615384615</x:v>
      </x:c>
      <x:c r="R6" s="66" t="n">
        <x:f>IFERROR(VLOOKUP(C6,Assumptions!$G$5:$H$9,2,TRUE),0)</x:f>
        <x:v>0.03</x:v>
      </x:c>
      <x:c r="S6" s="67" t="n">
        <x:v>0</x:v>
      </x:c>
      <x:c r="T6" s="64" t="n">
        <x:f>Q6*(1-R6)*(1+S6)</x:f>
        <x:v>13.428204326923076</x:v>
      </x:c>
      <x:c r="U6" s="64" t="n">
        <x:f>C6*T6</x:f>
        <x:v>6714.102163461538</x:v>
      </x:c>
    </x:row>
    <x:row r="7">
      <x:c r="A7" s="42" t="str">
        <x:v>Point feature collection</x:v>
      </x:c>
      <x:c r="B7" s="42" t="str">
        <x:v>feature</x:v>
      </x:c>
      <x:c r="C7" s="62" t="n">
        <x:v>3000</x:v>
      </x:c>
      <x:c r="D7" s="62" t="n">
        <x:v>15</x:v>
      </x:c>
      <x:c r="E7" s="63" t="str">
        <x:v>Field Technician</x:v>
      </x:c>
      <x:c r="F7" s="64" t="n">
        <x:f>IFERROR(VLOOKUP(E7,Role_Rates!$A$5:$H$25,6,FALSE),0)</x:f>
        <x:v>20.65</x:v>
      </x:c>
      <x:c r="G7" s="64" t="n">
        <x:f>IFERROR(F7/D7,0)</x:f>
        <x:v>1.3766666666666665</x:v>
      </x:c>
      <x:c r="H7" s="65" t="n">
        <x:v>0.05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1.8974666666666666</x:v>
      </x:c>
      <x:c r="P7" s="66" t="n">
        <x:f>Assumptions!$B$6</x:f>
        <x:v>0.35</x:v>
      </x:c>
      <x:c r="Q7" s="64" t="n">
        <x:f>IFERROR(O7/(1-P7),0)</x:f>
        <x:v>2.919179487179487</x:v>
      </x:c>
      <x:c r="R7" s="66" t="n">
        <x:f>IFERROR(VLOOKUP(C7,Assumptions!$G$5:$H$9,2,TRUE),0)</x:f>
        <x:v>0.05</x:v>
      </x:c>
      <x:c r="S7" s="67" t="n">
        <x:v>0</x:v>
      </x:c>
      <x:c r="T7" s="64" t="n">
        <x:f>Q7*(1-R7)*(1+S7)</x:f>
        <x:v>2.7732205128205125</x:v>
      </x:c>
      <x:c r="U7" s="64" t="n">
        <x:f>C7*T7</x:f>
        <x:v>8319.661538461538</x:v>
      </x:c>
    </x:row>
    <x:row r="8">
      <x:c r="A8" s="42" t="str">
        <x:v>Polygon / site capture</x:v>
      </x:c>
      <x:c r="B8" s="42" t="str">
        <x:v>site</x:v>
      </x:c>
      <x:c r="C8" s="62" t="n">
        <x:v>100</x:v>
      </x:c>
      <x:c r="D8" s="62" t="n">
        <x:v>1.5</x:v>
      </x:c>
      <x:c r="E8" s="63" t="str">
        <x:v>Field Technician</x:v>
      </x:c>
      <x:c r="F8" s="64" t="n">
        <x:f>IFERROR(VLOOKUP(E8,Role_Rates!$A$5:$H$25,6,FALSE),0)</x:f>
        <x:v>20.65</x:v>
      </x:c>
      <x:c r="G8" s="64" t="n">
        <x:f>IFERROR(F8/D8,0)</x:f>
        <x:v>13.766666666666666</x:v>
      </x:c>
      <x:c r="H8" s="65" t="n">
        <x:v>1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24.549583333333334</x:v>
      </x:c>
      <x:c r="P8" s="66" t="n">
        <x:f>Assumptions!$B$6</x:f>
        <x:v>0.35</x:v>
      </x:c>
      <x:c r="Q8" s="64" t="n">
        <x:f>IFERROR(O8/(1-P8),0)</x:f>
        <x:v>37.76858974358974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37.76858974358974</x:v>
      </x:c>
      <x:c r="U8" s="64" t="n">
        <x:f>C8*T8</x:f>
        <x:v>3776.858974358974</x:v>
      </x:c>
    </x:row>
    <x:row r="9">
      <x:c r="A9" s="42" t="str">
        <x:v>Geotagged photo evidence</x:v>
      </x:c>
      <x:c r="B9" s="42" t="str">
        <x:v>photo</x:v>
      </x:c>
      <x:c r="C9" s="62" t="n">
        <x:v>5000</x:v>
      </x:c>
      <x:c r="D9" s="62" t="n">
        <x:v>30</x:v>
      </x:c>
      <x:c r="E9" s="63" t="str">
        <x:v>Field Technician</x:v>
      </x:c>
      <x:c r="F9" s="64" t="n">
        <x:f>IFERROR(VLOOKUP(E9,Role_Rates!$A$5:$H$25,6,FALSE),0)</x:f>
        <x:v>20.65</x:v>
      </x:c>
      <x:c r="G9" s="64" t="n">
        <x:f>IFERROR(F9/D9,0)</x:f>
        <x:v>0.6883333333333332</x:v>
      </x:c>
      <x:c r="H9" s="65" t="n">
        <x:v>0.02</x:v>
      </x:c>
      <x:c r="I9" s="63" t="str">
        <x:v>Simple</x:v>
      </x:c>
      <x:c r="J9" s="42" t="n">
        <x:f>IFERROR(VLOOKUP(I9,Assumptions!$D$5:$E$8,2,FALSE),1)</x:f>
        <x:v>0.85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0.8007708333333333</x:v>
      </x:c>
      <x:c r="P9" s="66" t="n">
        <x:f>Assumptions!$B$6</x:f>
        <x:v>0.35</x:v>
      </x:c>
      <x:c r="Q9" s="64" t="n">
        <x:f>IFERROR(O9/(1-P9),0)</x:f>
        <x:v>1.2319551282051282</x:v>
      </x:c>
      <x:c r="R9" s="66" t="n">
        <x:f>IFERROR(VLOOKUP(C9,Assumptions!$G$5:$H$9,2,TRUE),0)</x:f>
        <x:v>0.08</x:v>
      </x:c>
      <x:c r="S9" s="67" t="n">
        <x:v>0</x:v>
      </x:c>
      <x:c r="T9" s="64" t="n">
        <x:f>Q9*(1-R9)*(1+S9)</x:f>
        <x:v>1.133398717948718</x:v>
      </x:c>
      <x:c r="U9" s="64" t="n">
        <x:f>C9*T9</x:f>
        <x:v>5666.99358974359</x:v>
      </x:c>
    </x:row>
    <x:row r="10">
      <x:c r="A10" s="42" t="str">
        <x:v>Revisit / exception verification</x:v>
      </x:c>
      <x:c r="B10" s="42" t="str">
        <x:v>feature</x:v>
      </x:c>
      <x:c r="C10" s="62" t="n">
        <x:v>200</x:v>
      </x:c>
      <x:c r="D10" s="62" t="n">
        <x:v>10</x:v>
      </x:c>
      <x:c r="E10" s="63" t="str">
        <x:v>Field Technician</x:v>
      </x:c>
      <x:c r="F10" s="64" t="n">
        <x:f>IFERROR(VLOOKUP(E10,Role_Rates!$A$5:$H$25,6,FALSE),0)</x:f>
        <x:v>20.65</x:v>
      </x:c>
      <x:c r="G10" s="64" t="n">
        <x:f>IFERROR(F10/D10,0)</x:f>
        <x:v>2.065</x:v>
      </x:c>
      <x:c r="H10" s="65" t="n">
        <x:v>0.1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3.5993125</x:v>
      </x:c>
      <x:c r="P10" s="66" t="n">
        <x:f>Assumptions!$B$6</x:f>
        <x:v>0.35</x:v>
      </x:c>
      <x:c r="Q10" s="64" t="n">
        <x:f>IFERROR(O10/(1-P10),0)</x:f>
        <x:v>5.537403846153846</x:v>
      </x:c>
      <x:c r="R10" s="66" t="n">
        <x:f>IFERROR(VLOOKUP(C10,Assumptions!$G$5:$H$9,2,TRUE),0)</x:f>
        <x:v>0</x:v>
      </x:c>
      <x:c r="S10" s="67" t="n">
        <x:v>0</x:v>
      </x:c>
      <x:c r="T10" s="64" t="n">
        <x:f>Q10*(1-R10)*(1+S10)</x:f>
        <x:v>5.537403846153846</x:v>
      </x:c>
      <x:c r="U10" s="64" t="n">
        <x:f>C10*T10</x:f>
        <x:v>1107.4807692307693</x:v>
      </x:c>
    </x:row>
    <x:row r="11">
      <x:c r="A11" s="42" t="str">
        <x:v>Field data upload / sync</x:v>
      </x:c>
      <x:c r="B11" s="42" t="str">
        <x:v>GB</x:v>
      </x:c>
      <x:c r="C11" s="62" t="n">
        <x:v>500</x:v>
      </x:c>
      <x:c r="D11" s="62" t="n">
        <x:v>2</x:v>
      </x:c>
      <x:c r="E11" s="63" t="str">
        <x:v>Data Operator</x:v>
      </x:c>
      <x:c r="F11" s="64" t="n">
        <x:f>IFERROR(VLOOKUP(E11,Role_Rates!$A$5:$H$25,6,FALSE),0)</x:f>
        <x:v>5.363636363636364</x:v>
      </x:c>
      <x:c r="G11" s="64" t="n">
        <x:f>IFERROR(F11/D11,0)</x:f>
        <x:v>2.681818181818182</x:v>
      </x:c>
      <x:c r="H11" s="65" t="n">
        <x:v>0.05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3.6333181818181823</x:v>
      </x:c>
      <x:c r="P11" s="66" t="n">
        <x:f>Assumptions!$B$6</x:f>
        <x:v>0.35</x:v>
      </x:c>
      <x:c r="Q11" s="64" t="n">
        <x:f>IFERROR(O11/(1-P11),0)</x:f>
        <x:v>5.5897202797202805</x:v>
      </x:c>
      <x:c r="R11" s="66" t="n">
        <x:f>IFERROR(VLOOKUP(C11,Assumptions!$G$5:$H$9,2,TRUE),0)</x:f>
        <x:v>0.03</x:v>
      </x:c>
      <x:c r="S11" s="67" t="n">
        <x:v>0</x:v>
      </x:c>
      <x:c r="T11" s="64" t="n">
        <x:f>Q11*(1-R11)*(1+S11)</x:f>
        <x:v>5.422028671328672</x:v>
      </x:c>
      <x:c r="U11" s="64" t="n">
        <x:f>C11*T11</x:f>
        <x:v>2711.0143356643357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35412.63444784382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{AC615902-7375-D04C-0AFE-DD440C4575CC}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615902-7375-D04C-0AFE-DD440C4575CC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GIS Cloud Hosting / Viewer Delivery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Customer-facing GIS viewer / hosting pricing using measurable infrastructure and support units.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Object storage</x:v>
      </x:c>
      <x:c r="B5" s="42" t="str">
        <x:v>TB-month</x:v>
      </x:c>
      <x:c r="C5" s="62" t="n">
        <x:v>100</x:v>
      </x:c>
      <x:c r="D5" s="62" t="n">
        <x:v>1000</x:v>
      </x:c>
      <x:c r="E5" s="63" t="str">
        <x:v>Cloud/DevOps Engineer</x:v>
      </x:c>
      <x:c r="F5" s="64" t="n">
        <x:f>IFERROR(VLOOKUP(E5,Role_Rates!$A$5:$H$25,6,FALSE),0)</x:f>
        <x:v>19.666666666666668</x:v>
      </x:c>
      <x:c r="G5" s="64" t="n">
        <x:f>IFERROR(F5/D5,0)</x:f>
        <x:v>0.01966666666666667</x:v>
      </x:c>
      <x:c r="H5" s="65" t="n">
        <x:v>18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23.966156666666667</x:v>
      </x:c>
      <x:c r="P5" s="66" t="n">
        <x:f>Assumptions!$B$6</x:f>
        <x:v>0.35</x:v>
      </x:c>
      <x:c r="Q5" s="64" t="n">
        <x:f>IFERROR(O5/(1-P5),0)</x:f>
        <x:v>36.87101025641026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36.87101025641026</x:v>
      </x:c>
      <x:c r="U5" s="64" t="n">
        <x:f>C5*T5</x:f>
        <x:v>3687.101025641026</x:v>
      </x:c>
    </x:row>
    <x:row r="6">
      <x:c r="A6" s="42" t="str">
        <x:v>Data egress</x:v>
      </x:c>
      <x:c r="B6" s="42" t="str">
        <x:v>TB</x:v>
      </x:c>
      <x:c r="C6" s="62" t="n">
        <x:v>20</x:v>
      </x:c>
      <x:c r="D6" s="62" t="n">
        <x:v>1000</x:v>
      </x:c>
      <x:c r="E6" s="63" t="str">
        <x:v>Cloud/DevOps Engineer</x:v>
      </x:c>
      <x:c r="F6" s="64" t="n">
        <x:f>IFERROR(VLOOKUP(E6,Role_Rates!$A$5:$H$25,6,FALSE),0)</x:f>
        <x:v>19.666666666666668</x:v>
      </x:c>
      <x:c r="G6" s="64" t="n">
        <x:f>IFERROR(F6/D6,0)</x:f>
        <x:v>0.01966666666666667</x:v>
      </x:c>
      <x:c r="H6" s="65" t="n">
        <x:v>50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66.52615666666667</x:v>
      </x:c>
      <x:c r="P6" s="66" t="n">
        <x:f>Assumptions!$B$6</x:f>
        <x:v>0.35</x:v>
      </x:c>
      <x:c r="Q6" s="64" t="n">
        <x:f>IFERROR(O6/(1-P6),0)</x:f>
        <x:v>102.34793333333333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102.34793333333333</x:v>
      </x:c>
      <x:c r="U6" s="64" t="n">
        <x:f>C6*T6</x:f>
        <x:v>2046.9586666666667</x:v>
      </x:c>
    </x:row>
    <x:row r="7">
      <x:c r="A7" s="42" t="str">
        <x:v>Viewer compute</x:v>
      </x:c>
      <x:c r="B7" s="42" t="str">
        <x:v>instance-month</x:v>
      </x:c>
      <x:c r="C7" s="62" t="n">
        <x:v>4</x:v>
      </x:c>
      <x:c r="D7" s="62" t="n">
        <x:v>0.01</x:v>
      </x:c>
      <x:c r="E7" s="63" t="str">
        <x:v>Cloud/DevOps Engineer</x:v>
      </x:c>
      <x:c r="F7" s="64" t="n">
        <x:f>IFERROR(VLOOKUP(E7,Role_Rates!$A$5:$H$25,6,FALSE),0)</x:f>
        <x:v>19.666666666666668</x:v>
      </x:c>
      <x:c r="G7" s="64" t="n">
        <x:f>IFERROR(F7/D7,0)</x:f>
        <x:v>1966.6666666666667</x:v>
      </x:c>
      <x:c r="H7" s="65" t="n">
        <x:v>120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2775.2666666666673</x:v>
      </x:c>
      <x:c r="P7" s="66" t="n">
        <x:f>Assumptions!$B$6</x:f>
        <x:v>0.35</x:v>
      </x:c>
      <x:c r="Q7" s="64" t="n">
        <x:f>IFERROR(O7/(1-P7),0)</x:f>
        <x:v>4269.641025641026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4269.641025641026</x:v>
      </x:c>
      <x:c r="U7" s="64" t="n">
        <x:f>C7*T7</x:f>
        <x:v>17078.564102564105</x:v>
      </x:c>
    </x:row>
    <x:row r="8">
      <x:c r="A8" s="42" t="str">
        <x:v>Database / catalog compute</x:v>
      </x:c>
      <x:c r="B8" s="42" t="str">
        <x:v>instance-month</x:v>
      </x:c>
      <x:c r="C8" s="62" t="n">
        <x:v>2</x:v>
      </x:c>
      <x:c r="D8" s="62" t="n">
        <x:v>0.01</x:v>
      </x:c>
      <x:c r="E8" s="63" t="str">
        <x:v>Cloud/DevOps Engineer</x:v>
      </x:c>
      <x:c r="F8" s="64" t="n">
        <x:f>IFERROR(VLOOKUP(E8,Role_Rates!$A$5:$H$25,6,FALSE),0)</x:f>
        <x:v>19.666666666666668</x:v>
      </x:c>
      <x:c r="G8" s="64" t="n">
        <x:f>IFERROR(F8/D8,0)</x:f>
        <x:v>1966.6666666666667</x:v>
      </x:c>
      <x:c r="H8" s="65" t="n">
        <x:v>150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3518.9583333333344</x:v>
      </x:c>
      <x:c r="P8" s="66" t="n">
        <x:f>Assumptions!$B$6</x:f>
        <x:v>0.35</x:v>
      </x:c>
      <x:c r="Q8" s="64" t="n">
        <x:f>IFERROR(O8/(1-P8),0)</x:f>
        <x:v>5413.782051282053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5413.782051282053</x:v>
      </x:c>
      <x:c r="U8" s="64" t="n">
        <x:f>C8*T8</x:f>
        <x:v>10827.564102564105</x:v>
      </x:c>
    </x:row>
    <x:row r="9">
      <x:c r="A9" s="42" t="str">
        <x:v>Backup storage</x:v>
      </x:c>
      <x:c r="B9" s="42" t="str">
        <x:v>TB-month</x:v>
      </x:c>
      <x:c r="C9" s="62" t="n">
        <x:v>100</x:v>
      </x:c>
      <x:c r="D9" s="62" t="n">
        <x:v>1000</x:v>
      </x:c>
      <x:c r="E9" s="63" t="str">
        <x:v>Cloud/DevOps Engineer</x:v>
      </x:c>
      <x:c r="F9" s="64" t="n">
        <x:f>IFERROR(VLOOKUP(E9,Role_Rates!$A$5:$H$25,6,FALSE),0)</x:f>
        <x:v>19.666666666666668</x:v>
      </x:c>
      <x:c r="G9" s="64" t="n">
        <x:f>IFERROR(F9/D9,0)</x:f>
        <x:v>0.01966666666666667</x:v>
      </x:c>
      <x:c r="H9" s="65" t="n">
        <x:v>8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10.666156666666666</x:v>
      </x:c>
      <x:c r="P9" s="66" t="n">
        <x:f>Assumptions!$B$6</x:f>
        <x:v>0.35</x:v>
      </x:c>
      <x:c r="Q9" s="64" t="n">
        <x:f>IFERROR(O9/(1-P9),0)</x:f>
        <x:v>16.40947179487179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16.40947179487179</x:v>
      </x:c>
      <x:c r="U9" s="64" t="n">
        <x:f>C9*T9</x:f>
        <x:v>1640.9471794871793</x:v>
      </x:c>
    </x:row>
    <x:row r="10">
      <x:c r="A10" s="42" t="str">
        <x:v>Named viewer user</x:v>
      </x:c>
      <x:c r="B10" s="42" t="str">
        <x:v>user-month</x:v>
      </x:c>
      <x:c r="C10" s="62" t="n">
        <x:v>1000</x:v>
      </x:c>
      <x:c r="D10" s="62" t="n">
        <x:v>100</x:v>
      </x:c>
      <x:c r="E10" s="63" t="str">
        <x:v>Data Operator</x:v>
      </x:c>
      <x:c r="F10" s="64" t="n">
        <x:f>IFERROR(VLOOKUP(E10,Role_Rates!$A$5:$H$25,6,FALSE),0)</x:f>
        <x:v>5.363636363636364</x:v>
      </x:c>
      <x:c r="G10" s="64" t="n">
        <x:f>IFERROR(F10/D10,0)</x:f>
        <x:v>0.05363636363636364</x:v>
      </x:c>
      <x:c r="H10" s="65" t="n">
        <x:v>0</x:v>
      </x:c>
      <x:c r="I10" s="63" t="str">
        <x:v>Simple</x:v>
      </x:c>
      <x:c r="J10" s="42" t="n">
        <x:f>IFERROR(VLOOKUP(I10,Assumptions!$D$5:$E$8,2,FALSE),1)</x:f>
        <x:v>0.85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0.060635909090909094</x:v>
      </x:c>
      <x:c r="P10" s="66" t="n">
        <x:f>Assumptions!$B$6</x:f>
        <x:v>0.35</x:v>
      </x:c>
      <x:c r="Q10" s="64" t="n">
        <x:f>IFERROR(O10/(1-P10),0)</x:f>
        <x:v>0.093286013986014</x:v>
      </x:c>
      <x:c r="R10" s="66" t="n">
        <x:f>IFERROR(VLOOKUP(C10,Assumptions!$G$5:$H$9,2,TRUE),0)</x:f>
        <x:v>0.03</x:v>
      </x:c>
      <x:c r="S10" s="67" t="n">
        <x:v>0</x:v>
      </x:c>
      <x:c r="T10" s="64" t="n">
        <x:f>Q10*(1-R10)*(1+S10)</x:f>
        <x:v>0.09048743356643357</x:v>
      </x:c>
      <x:c r="U10" s="64" t="n">
        <x:f>C10*T10</x:f>
        <x:v>90.48743356643357</x:v>
      </x:c>
    </x:row>
    <x:row r="11">
      <x:c r="A11" s="42" t="str">
        <x:v>Platform support</x:v>
      </x:c>
      <x:c r="B11" s="42" t="str">
        <x:v>month</x:v>
      </x:c>
      <x:c r="C11" s="62" t="n">
        <x:v>12</x:v>
      </x:c>
      <x:c r="D11" s="62" t="n">
        <x:v>0.02</x:v>
      </x:c>
      <x:c r="E11" s="63" t="str">
        <x:v>Cloud/DevOps Engineer</x:v>
      </x:c>
      <x:c r="F11" s="64" t="n">
        <x:f>IFERROR(VLOOKUP(E11,Role_Rates!$A$5:$H$25,6,FALSE),0)</x:f>
        <x:v>19.666666666666668</x:v>
      </x:c>
      <x:c r="G11" s="64" t="n">
        <x:f>IFERROR(F11/D11,0)</x:f>
        <x:v>983.3333333333334</x:v>
      </x:c>
      <x:c r="H11" s="65" t="n">
        <x:v>25</x:v>
      </x:c>
      <x:c r="I11" s="63" t="str">
        <x:v>Medium</x:v>
      </x:c>
      <x:c r="J11" s="42" t="n">
        <x:f>IFERROR(VLOOKUP(I11,Assumptions!$D$5:$E$8,2,FALSE),1)</x:f>
        <x:v>1.25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1676.354166666667</x:v>
      </x:c>
      <x:c r="P11" s="66" t="n">
        <x:f>Assumptions!$B$6</x:f>
        <x:v>0.35</x:v>
      </x:c>
      <x:c r="Q11" s="64" t="n">
        <x:f>IFERROR(O11/(1-P11),0)</x:f>
        <x:v>2579.0064102564106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2579.0064102564106</x:v>
      </x:c>
      <x:c r="U11" s="64" t="n">
        <x:f>C11*T11</x:f>
        <x:v>30948.07692307693</x:v>
      </x:c>
    </x:row>
    <x:row r="12">
      <x:c r="A12" s="42" t="str">
        <x:v>Monitoring / security operations</x:v>
      </x:c>
      <x:c r="B12" s="42" t="str">
        <x:v>month</x:v>
      </x:c>
      <x:c r="C12" s="62" t="n">
        <x:v>12</x:v>
      </x:c>
      <x:c r="D12" s="62" t="n">
        <x:v>0.02</x:v>
      </x:c>
      <x:c r="E12" s="63" t="str">
        <x:v>Cloud/DevOps Engineer</x:v>
      </x:c>
      <x:c r="F12" s="64" t="n">
        <x:f>IFERROR(VLOOKUP(E12,Role_Rates!$A$5:$H$25,6,FALSE),0)</x:f>
        <x:v>19.666666666666668</x:v>
      </x:c>
      <x:c r="G12" s="64" t="n">
        <x:f>IFERROR(F12/D12,0)</x:f>
        <x:v>983.3333333333334</x:v>
      </x:c>
      <x:c r="H12" s="65" t="n">
        <x:v>25</x:v>
      </x:c>
      <x:c r="I12" s="63" t="str">
        <x:v>Medium</x:v>
      </x:c>
      <x:c r="J12" s="42" t="n">
        <x:f>IFERROR(VLOOKUP(I12,Assumptions!$D$5:$E$8,2,FALSE),1)</x:f>
        <x:v>1.25</x:v>
      </x:c>
      <x:c r="K12" s="66" t="n">
        <x:f>Assumptions!$B$8</x:f>
        <x:v>0.15</x:v>
      </x:c>
      <x:c r="L12" s="66" t="n">
        <x:f>Assumptions!$B$9</x:f>
        <x:v>0.05</x:v>
      </x:c>
      <x:c r="M12" s="66" t="n">
        <x:f>Assumptions!$B$10</x:f>
        <x:v>0.08</x:v>
      </x:c>
      <x:c r="N12" s="66" t="n">
        <x:f>Assumptions!$B$11</x:f>
        <x:v>0.05</x:v>
      </x:c>
      <x:c r="O12" s="64" t="n">
        <x:f>(G12+H12)*J12*(1+K12+L12+M12+N12)</x:f>
        <x:v>1676.354166666667</x:v>
      </x:c>
      <x:c r="P12" s="66" t="n">
        <x:f>Assumptions!$B$6</x:f>
        <x:v>0.35</x:v>
      </x:c>
      <x:c r="Q12" s="64" t="n">
        <x:f>IFERROR(O12/(1-P12),0)</x:f>
        <x:v>2579.0064102564106</x:v>
      </x:c>
      <x:c r="R12" s="66" t="n">
        <x:f>IFERROR(VLOOKUP(C12,Assumptions!$G$5:$H$9,2,TRUE),0)</x:f>
        <x:v>0</x:v>
      </x:c>
      <x:c r="S12" s="67" t="n">
        <x:v>0</x:v>
      </x:c>
      <x:c r="T12" s="64" t="n">
        <x:f>Q12*(1-R12)*(1+S12)</x:f>
        <x:v>2579.0064102564106</x:v>
      </x:c>
      <x:c r="U12" s="64" t="n">
        <x:f>C12*T12</x:f>
        <x:v>30948.07692307693</x:v>
      </x:c>
    </x:row>
    <x:row r="14">
      <x:c r="A14" s="45" t="str">
        <x:v>Calculated Project Sell Value</x:v>
      </x:c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50" t="n">
        <x:f>MAX(SUM(U5:U12),Assumptions!$B$14)</x:f>
        <x:v>97267.77635664339</x:v>
      </x:c>
    </x:row>
    <x:row r="16" ht="28" customHeight="1">
      <x:c r="A16" s="34" t="str">
        <x:v>How to use: edit yellow input cells (Qty, Productivity, Role, Other Cost, Complexity, Rush %). All other rates are formula-driven from global assumptions and role costs.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</x:row>
  </x:sheetData>
  <x:mergeCells>
    <x:mergeCell ref="A1:U1"/>
    <x:mergeCell ref="A2:U2"/>
    <x:mergeCell ref="A14:T14"/>
    <x:mergeCell ref="A16:U16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{DEA9C96F-FCAD-38A2-C02B-45CB1344D419}</x14:id>
        </x:ext>
      </x:extLst>
    </x:cfRule>
  </x:conditionalFormatting>
  <x:dataValidations count="2">
    <x:dataValidation type="list" sqref="I5:I12">
      <x:formula1>"Simple,Standard,Medium,Complex"</x:formula1>
    </x:dataValidation>
    <x:dataValidation type="list" sqref="E5:E12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EA9C96F-FCAD-38A2-C02B-45CB1344D419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GIS QA / QC Pricing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Use as an independent QC layer or add-on to production pricing.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Sampling QA review</x:v>
      </x:c>
      <x:c r="B5" s="42" t="str">
        <x:v>sample</x:v>
      </x:c>
      <x:c r="C5" s="62" t="n">
        <x:v>5000</x:v>
      </x:c>
      <x:c r="D5" s="62" t="n">
        <x:v>50</x:v>
      </x:c>
      <x:c r="E5" s="63" t="str">
        <x:v>QA Analyst</x:v>
      </x:c>
      <x:c r="F5" s="64" t="n">
        <x:f>IFERROR(VLOOKUP(E5,Role_Rates!$A$5:$H$25,6,FALSE),0)</x:f>
        <x:v>7.375</x:v>
      </x:c>
      <x:c r="G5" s="64" t="n">
        <x:f>IFERROR(F5/D5,0)</x:f>
        <x:v>0.1475</x:v>
      </x:c>
      <x:c r="H5" s="65" t="n">
        <x:v>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0.196175</x:v>
      </x:c>
      <x:c r="P5" s="66" t="n">
        <x:f>Assumptions!$B$6</x:f>
        <x:v>0.35</x:v>
      </x:c>
      <x:c r="Q5" s="64" t="n">
        <x:f>IFERROR(O5/(1-P5),0)</x:f>
        <x:v>0.3018076923076923</x:v>
      </x:c>
      <x:c r="R5" s="66" t="n">
        <x:f>IFERROR(VLOOKUP(C5,Assumptions!$G$5:$H$9,2,TRUE),0)</x:f>
        <x:v>0.08</x:v>
      </x:c>
      <x:c r="S5" s="67" t="n">
        <x:v>0</x:v>
      </x:c>
      <x:c r="T5" s="64" t="n">
        <x:f>Q5*(1-R5)*(1+S5)</x:f>
        <x:v>0.2776630769230769</x:v>
      </x:c>
      <x:c r="U5" s="64" t="n">
        <x:f>C5*T5</x:f>
        <x:v>1388.3153846153846</x:v>
      </x:c>
    </x:row>
    <x:row r="6">
      <x:c r="A6" s="42" t="str">
        <x:v>100% record QC</x:v>
      </x:c>
      <x:c r="B6" s="42" t="str">
        <x:v>record</x:v>
      </x:c>
      <x:c r="C6" s="62" t="n">
        <x:v>10000</x:v>
      </x:c>
      <x:c r="D6" s="62" t="n">
        <x:v>60</x:v>
      </x:c>
      <x:c r="E6" s="63" t="str">
        <x:v>QA Analyst</x:v>
      </x:c>
      <x:c r="F6" s="64" t="n">
        <x:f>IFERROR(VLOOKUP(E6,Role_Rates!$A$5:$H$25,6,FALSE),0)</x:f>
        <x:v>7.375</x:v>
      </x:c>
      <x:c r="G6" s="64" t="n">
        <x:f>IFERROR(F6/D6,0)</x:f>
        <x:v>0.12291666666666666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0.16347916666666668</x:v>
      </x:c>
      <x:c r="P6" s="66" t="n">
        <x:f>Assumptions!$B$6</x:f>
        <x:v>0.35</x:v>
      </x:c>
      <x:c r="Q6" s="64" t="n">
        <x:f>IFERROR(O6/(1-P6),0)</x:f>
        <x:v>0.25150641025641024</x:v>
      </x:c>
      <x:c r="R6" s="66" t="n">
        <x:f>IFERROR(VLOOKUP(C6,Assumptions!$G$5:$H$9,2,TRUE),0)</x:f>
        <x:v>0.1</x:v>
      </x:c>
      <x:c r="S6" s="67" t="n">
        <x:v>0</x:v>
      </x:c>
      <x:c r="T6" s="64" t="n">
        <x:f>Q6*(1-R6)*(1+S6)</x:f>
        <x:v>0.22635576923076922</x:v>
      </x:c>
      <x:c r="U6" s="64" t="n">
        <x:f>C6*T6</x:f>
        <x:v>2263.5576923076924</x:v>
      </x:c>
    </x:row>
    <x:row r="7">
      <x:c r="A7" s="42" t="str">
        <x:v>Complex geometry audit</x:v>
      </x:c>
      <x:c r="B7" s="42" t="str">
        <x:v>feature</x:v>
      </x:c>
      <x:c r="C7" s="62" t="n">
        <x:v>3000</x:v>
      </x:c>
      <x:c r="D7" s="62" t="n">
        <x:v>25</x:v>
      </x:c>
      <x:c r="E7" s="63" t="str">
        <x:v>Senior GIS Analyst</x:v>
      </x:c>
      <x:c r="F7" s="64" t="n">
        <x:f>IFERROR(VLOOKUP(E7,Role_Rates!$A$5:$H$25,6,FALSE),0)</x:f>
        <x:v>9.5875</x:v>
      </x:c>
      <x:c r="G7" s="64" t="n">
        <x:f>IFERROR(F7/D7,0)</x:f>
        <x:v>0.3835</x:v>
      </x:c>
      <x:c r="H7" s="65" t="n">
        <x:v>0</x:v>
      </x:c>
      <x:c r="I7" s="63" t="str">
        <x:v>Medium</x:v>
      </x:c>
      <x:c r="J7" s="42" t="n">
        <x:f>IFERROR(VLOOKUP(I7,Assumptions!$D$5:$E$8,2,FALSE),1)</x:f>
        <x:v>1.25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0.63756875</x:v>
      </x:c>
      <x:c r="P7" s="66" t="n">
        <x:f>Assumptions!$B$6</x:f>
        <x:v>0.35</x:v>
      </x:c>
      <x:c r="Q7" s="64" t="n">
        <x:f>IFERROR(O7/(1-P7),0)</x:f>
        <x:v>0.9808749999999999</x:v>
      </x:c>
      <x:c r="R7" s="66" t="n">
        <x:f>IFERROR(VLOOKUP(C7,Assumptions!$G$5:$H$9,2,TRUE),0)</x:f>
        <x:v>0.05</x:v>
      </x:c>
      <x:c r="S7" s="67" t="n">
        <x:v>0</x:v>
      </x:c>
      <x:c r="T7" s="64" t="n">
        <x:f>Q7*(1-R7)*(1+S7)</x:f>
        <x:v>0.9318312499999999</x:v>
      </x:c>
      <x:c r="U7" s="64" t="n">
        <x:f>C7*T7</x:f>
        <x:v>2795.4937499999996</x:v>
      </x:c>
    </x:row>
    <x:row r="8">
      <x:c r="A8" s="42" t="str">
        <x:v>Navigation route QA</x:v>
      </x:c>
      <x:c r="B8" s="42" t="str">
        <x:v>road-km</x:v>
      </x:c>
      <x:c r="C8" s="62" t="n">
        <x:v>1000</x:v>
      </x:c>
      <x:c r="D8" s="62" t="n">
        <x:v>5</x:v>
      </x:c>
      <x:c r="E8" s="63" t="str">
        <x:v>QA Analyst</x:v>
      </x:c>
      <x:c r="F8" s="64" t="n">
        <x:f>IFERROR(VLOOKUP(E8,Role_Rates!$A$5:$H$25,6,FALSE),0)</x:f>
        <x:v>7.375</x:v>
      </x:c>
      <x:c r="G8" s="64" t="n">
        <x:f>IFERROR(F8/D8,0)</x:f>
        <x:v>1.475</x:v>
      </x:c>
      <x:c r="H8" s="65" t="n">
        <x:v>0</x:v>
      </x:c>
      <x:c r="I8" s="63" t="str">
        <x:v>Medium</x:v>
      </x:c>
      <x:c r="J8" s="42" t="n">
        <x:f>IFERROR(VLOOKUP(I8,Assumptions!$D$5:$E$8,2,FALSE),1)</x:f>
        <x:v>1.25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2.4521875</x:v>
      </x:c>
      <x:c r="P8" s="66" t="n">
        <x:f>Assumptions!$B$6</x:f>
        <x:v>0.35</x:v>
      </x:c>
      <x:c r="Q8" s="64" t="n">
        <x:f>IFERROR(O8/(1-P8),0)</x:f>
        <x:v>3.7725961538461537</x:v>
      </x:c>
      <x:c r="R8" s="66" t="n">
        <x:f>IFERROR(VLOOKUP(C8,Assumptions!$G$5:$H$9,2,TRUE),0)</x:f>
        <x:v>0.03</x:v>
      </x:c>
      <x:c r="S8" s="67" t="n">
        <x:v>0</x:v>
      </x:c>
      <x:c r="T8" s="64" t="n">
        <x:f>Q8*(1-R8)*(1+S8)</x:f>
        <x:v>3.659418269230769</x:v>
      </x:c>
      <x:c r="U8" s="64" t="n">
        <x:f>C8*T8</x:f>
        <x:v>3659.418269230769</x:v>
      </x:c>
    </x:row>
    <x:row r="9">
      <x:c r="A9" s="42" t="str">
        <x:v>LiDAR classification audit</x:v>
      </x:c>
      <x:c r="B9" s="42" t="str">
        <x:v>sq-km</x:v>
      </x:c>
      <x:c r="C9" s="62" t="n">
        <x:v>100</x:v>
      </x:c>
      <x:c r="D9" s="62" t="n">
        <x:v>1.5</x:v>
      </x:c>
      <x:c r="E9" s="63" t="str">
        <x:v>QA Analyst</x:v>
      </x:c>
      <x:c r="F9" s="64" t="n">
        <x:f>IFERROR(VLOOKUP(E9,Role_Rates!$A$5:$H$25,6,FALSE),0)</x:f>
        <x:v>7.375</x:v>
      </x:c>
      <x:c r="G9" s="64" t="n">
        <x:f>IFERROR(F9/D9,0)</x:f>
        <x:v>4.916666666666667</x:v>
      </x:c>
      <x:c r="H9" s="65" t="n">
        <x:v>0</x:v>
      </x:c>
      <x:c r="I9" s="63" t="str">
        <x:v>Medium</x:v>
      </x:c>
      <x:c r="J9" s="42" t="n">
        <x:f>IFERROR(VLOOKUP(I9,Assumptions!$D$5:$E$8,2,FALSE),1)</x:f>
        <x:v>1.25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8.173958333333335</x:v>
      </x:c>
      <x:c r="P9" s="66" t="n">
        <x:f>Assumptions!$B$6</x:f>
        <x:v>0.35</x:v>
      </x:c>
      <x:c r="Q9" s="64" t="n">
        <x:f>IFERROR(O9/(1-P9),0)</x:f>
        <x:v>12.575320512820515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12.575320512820515</x:v>
      </x:c>
      <x:c r="U9" s="64" t="n">
        <x:f>C9*T9</x:f>
        <x:v>1257.5320512820515</x:v>
      </x:c>
    </x:row>
    <x:row r="10">
      <x:c r="A10" s="42" t="str">
        <x:v>Imagery completeness audit</x:v>
      </x:c>
      <x:c r="B10" s="42" t="str">
        <x:v>road-km</x:v>
      </x:c>
      <x:c r="C10" s="62" t="n">
        <x:v>1000</x:v>
      </x:c>
      <x:c r="D10" s="62" t="n">
        <x:v>7</x:v>
      </x:c>
      <x:c r="E10" s="63" t="str">
        <x:v>QA Analyst</x:v>
      </x:c>
      <x:c r="F10" s="64" t="n">
        <x:f>IFERROR(VLOOKUP(E10,Role_Rates!$A$5:$H$25,6,FALSE),0)</x:f>
        <x:v>7.375</x:v>
      </x:c>
      <x:c r="G10" s="64" t="n">
        <x:f>IFERROR(F10/D10,0)</x:f>
        <x:v>1.0535714285714286</x:v>
      </x:c>
      <x:c r="H10" s="65" t="n">
        <x:v>0</x:v>
      </x:c>
      <x:c r="I10" s="63" t="str">
        <x:v>Standard</x:v>
      </x:c>
      <x:c r="J10" s="42" t="n">
        <x:f>IFERROR(VLOOKUP(I10,Assumptions!$D$5:$E$8,2,FALSE),1)</x:f>
        <x:v>1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1.40125</x:v>
      </x:c>
      <x:c r="P10" s="66" t="n">
        <x:f>Assumptions!$B$6</x:f>
        <x:v>0.35</x:v>
      </x:c>
      <x:c r="Q10" s="64" t="n">
        <x:f>IFERROR(O10/(1-P10),0)</x:f>
        <x:v>2.1557692307692307</x:v>
      </x:c>
      <x:c r="R10" s="66" t="n">
        <x:f>IFERROR(VLOOKUP(C10,Assumptions!$G$5:$H$9,2,TRUE),0)</x:f>
        <x:v>0.03</x:v>
      </x:c>
      <x:c r="S10" s="67" t="n">
        <x:v>0</x:v>
      </x:c>
      <x:c r="T10" s="64" t="n">
        <x:f>Q10*(1-R10)*(1+S10)</x:f>
        <x:v>2.091096153846154</x:v>
      </x:c>
      <x:c r="U10" s="64" t="n">
        <x:f>C10*T10</x:f>
        <x:v>2091.096153846154</x:v>
      </x:c>
    </x:row>
    <x:row r="11">
      <x:c r="A11" s="42" t="str">
        <x:v>Release gate / delivery audit</x:v>
      </x:c>
      <x:c r="B11" s="42" t="str">
        <x:v>delivery</x:v>
      </x:c>
      <x:c r="C11" s="62" t="n">
        <x:v>12</x:v>
      </x:c>
      <x:c r="D11" s="62" t="n">
        <x:v>0.08</x:v>
      </x:c>
      <x:c r="E11" s="63" t="str">
        <x:v>QA Analyst</x:v>
      </x:c>
      <x:c r="F11" s="64" t="n">
        <x:f>IFERROR(VLOOKUP(E11,Role_Rates!$A$5:$H$25,6,FALSE),0)</x:f>
        <x:v>7.375</x:v>
      </x:c>
      <x:c r="G11" s="64" t="n">
        <x:f>IFERROR(F11/D11,0)</x:f>
        <x:v>92.1875</x:v>
      </x:c>
      <x:c r="H11" s="65" t="n">
        <x:v>0</x:v>
      </x:c>
      <x:c r="I11" s="63" t="str">
        <x:v>Medium</x:v>
      </x:c>
      <x:c r="J11" s="42" t="n">
        <x:f>IFERROR(VLOOKUP(I11,Assumptions!$D$5:$E$8,2,FALSE),1)</x:f>
        <x:v>1.25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153.26171875</x:v>
      </x:c>
      <x:c r="P11" s="66" t="n">
        <x:f>Assumptions!$B$6</x:f>
        <x:v>0.35</x:v>
      </x:c>
      <x:c r="Q11" s="64" t="n">
        <x:f>IFERROR(O11/(1-P11),0)</x:f>
        <x:v>235.7872596153846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235.7872596153846</x:v>
      </x:c>
      <x:c r="U11" s="64" t="n">
        <x:f>C11*T11</x:f>
        <x:v>2829.4471153846152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16284.860416666666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{A340B546-03E2-1A88-4B20-2F5817F7996E}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340B546-03E2-1A88-4B20-2F5817F7996E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3" hidden="0" customWidth="1"/>
    <x:col min="5" max="5" width="2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9" hidden="0" customWidth="1"/>
    <x:col min="14" max="14" width="12" hidden="0" customWidth="1"/>
    <x:col min="15" max="15" width="14" hidden="0" customWidth="1"/>
    <x:col min="16" max="16" width="11" hidden="0" customWidth="1"/>
    <x:col min="17" max="17" width="14" hidden="0" customWidth="1"/>
    <x:col min="18" max="18" width="12" hidden="0" customWidth="1"/>
    <x:col min="19" max="19" width="9" hidden="0" customWidth="1"/>
    <x:col min="20" max="20" width="14" hidden="0" customWidth="1"/>
    <x:col min="21" max="21" width="16" hidden="0" customWidth="1"/>
  </x:cols>
  <x:sheetData>
    <x:row r="1" ht="28" customHeight="1">
      <x:c r="A1" s="5" t="str">
        <x:v>GIS Managed Service / Monthly Operations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0" customHeight="1">
      <x:c r="A2" s="12" t="str">
        <x:v>Monthly managed-service template for recurring GIS production, QA, PM and support.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s="20" t="str">
        <x:v>Work Item</x:v>
      </x:c>
      <x:c r="B4" s="20" t="str">
        <x:v>UOM</x:v>
      </x:c>
      <x:c r="C4" s="20" t="str">
        <x:v>Qty</x:v>
      </x:c>
      <x:c r="D4" s="20" t="str">
        <x:v>Productivity
(Units/Hr)</x:v>
      </x:c>
      <x:c r="E4" s="20" t="str">
        <x:v>Primary Role</x:v>
      </x:c>
      <x:c r="F4" s="20" t="str">
        <x:v>Loaded Cost/Hr</x:v>
      </x:c>
      <x:c r="G4" s="20" t="str">
        <x:v>Labor Cost/Unit</x:v>
      </x:c>
      <x:c r="H4" s="20" t="str">
        <x:v>Other Cost/Unit</x:v>
      </x:c>
      <x:c r="I4" s="20" t="str">
        <x:v>Complexity</x:v>
      </x:c>
      <x:c r="J4" s="20" t="str">
        <x:v>Complexity Mult</x:v>
      </x:c>
      <x:c r="K4" s="20" t="str">
        <x:v>QA %</x:v>
      </x:c>
      <x:c r="L4" s="20" t="str">
        <x:v>Rework %</x:v>
      </x:c>
      <x:c r="M4" s="20" t="str">
        <x:v>PM %</x:v>
      </x:c>
      <x:c r="N4" s="20" t="str">
        <x:v>Contingency %</x:v>
      </x:c>
      <x:c r="O4" s="20" t="str">
        <x:v>Cost/Unit</x:v>
      </x:c>
      <x:c r="P4" s="20" t="str">
        <x:v>Target GM</x:v>
      </x:c>
      <x:c r="Q4" s="20" t="str">
        <x:v>Base Sell/Unit</x:v>
      </x:c>
      <x:c r="R4" s="20" t="str">
        <x:v>Volume Disc %</x:v>
      </x:c>
      <x:c r="S4" s="20" t="str">
        <x:v>Rush %</x:v>
      </x:c>
      <x:c r="T4" s="20" t="str">
        <x:v>Final Sell/Unit</x:v>
      </x:c>
      <x:c r="U4" s="20" t="str">
        <x:v>Total Sell</x:v>
      </x:c>
    </x:row>
    <x:row r="5">
      <x:c r="A5" s="42" t="str">
        <x:v>GIS production capacity</x:v>
      </x:c>
      <x:c r="B5" s="42" t="str">
        <x:v>FTE-month</x:v>
      </x:c>
      <x:c r="C5" s="62" t="n">
        <x:v>5</x:v>
      </x:c>
      <x:c r="D5" s="62" t="n">
        <x:v>0.00625</x:v>
      </x:c>
      <x:c r="E5" s="63" t="str">
        <x:v>GIS Analyst</x:v>
      </x:c>
      <x:c r="F5" s="64" t="n">
        <x:f>IFERROR(VLOOKUP(E5,Role_Rates!$A$5:$H$25,6,FALSE),0)</x:f>
        <x:v>6.637499999999999</x:v>
      </x:c>
      <x:c r="G5" s="64" t="n">
        <x:f>IFERROR(F5/D5,0)</x:f>
        <x:v>1061.9999999999998</x:v>
      </x:c>
      <x:c r="H5" s="65" t="n">
        <x:v>0</x:v>
      </x:c>
      <x:c r="I5" s="63" t="str">
        <x:v>Standard</x:v>
      </x:c>
      <x:c r="J5" s="42" t="n">
        <x:f>IFERROR(VLOOKUP(I5,Assumptions!$D$5:$E$8,2,FALSE),1)</x:f>
        <x:v>1</x:v>
      </x:c>
      <x:c r="K5" s="66" t="n">
        <x:f>Assumptions!$B$8</x:f>
        <x:v>0.15</x:v>
      </x:c>
      <x:c r="L5" s="66" t="n">
        <x:f>Assumptions!$B$9</x:f>
        <x:v>0.05</x:v>
      </x:c>
      <x:c r="M5" s="66" t="n">
        <x:f>Assumptions!$B$10</x:f>
        <x:v>0.08</x:v>
      </x:c>
      <x:c r="N5" s="66" t="n">
        <x:f>Assumptions!$B$11</x:f>
        <x:v>0.05</x:v>
      </x:c>
      <x:c r="O5" s="64" t="n">
        <x:f>(G5+H5)*J5*(1+K5+L5+M5+N5)</x:f>
        <x:v>1412.4599999999998</x:v>
      </x:c>
      <x:c r="P5" s="66" t="n">
        <x:f>Assumptions!$B$6</x:f>
        <x:v>0.35</x:v>
      </x:c>
      <x:c r="Q5" s="64" t="n">
        <x:f>IFERROR(O5/(1-P5),0)</x:f>
        <x:v>2173.0153846153844</x:v>
      </x:c>
      <x:c r="R5" s="66" t="n">
        <x:f>IFERROR(VLOOKUP(C5,Assumptions!$G$5:$H$9,2,TRUE),0)</x:f>
        <x:v>0</x:v>
      </x:c>
      <x:c r="S5" s="67" t="n">
        <x:v>0</x:v>
      </x:c>
      <x:c r="T5" s="64" t="n">
        <x:f>Q5*(1-R5)*(1+S5)</x:f>
        <x:v>2173.0153846153844</x:v>
      </x:c>
      <x:c r="U5" s="64" t="n">
        <x:f>C5*T5</x:f>
        <x:v>10865.076923076922</x:v>
      </x:c>
    </x:row>
    <x:row r="6">
      <x:c r="A6" s="42" t="str">
        <x:v>Senior GIS / SME capacity</x:v>
      </x:c>
      <x:c r="B6" s="42" t="str">
        <x:v>FTE-month</x:v>
      </x:c>
      <x:c r="C6" s="62" t="n">
        <x:v>1</x:v>
      </x:c>
      <x:c r="D6" s="62" t="n">
        <x:v>0.00625</x:v>
      </x:c>
      <x:c r="E6" s="63" t="str">
        <x:v>Senior GIS Analyst</x:v>
      </x:c>
      <x:c r="F6" s="64" t="n">
        <x:f>IFERROR(VLOOKUP(E6,Role_Rates!$A$5:$H$25,6,FALSE),0)</x:f>
        <x:v>9.5875</x:v>
      </x:c>
      <x:c r="G6" s="64" t="n">
        <x:f>IFERROR(F6/D6,0)</x:f>
        <x:v>1534</x:v>
      </x:c>
      <x:c r="H6" s="65" t="n">
        <x:v>0</x:v>
      </x:c>
      <x:c r="I6" s="63" t="str">
        <x:v>Standard</x:v>
      </x:c>
      <x:c r="J6" s="42" t="n">
        <x:f>IFERROR(VLOOKUP(I6,Assumptions!$D$5:$E$8,2,FALSE),1)</x:f>
        <x:v>1</x:v>
      </x:c>
      <x:c r="K6" s="66" t="n">
        <x:f>Assumptions!$B$8</x:f>
        <x:v>0.15</x:v>
      </x:c>
      <x:c r="L6" s="66" t="n">
        <x:f>Assumptions!$B$9</x:f>
        <x:v>0.05</x:v>
      </x:c>
      <x:c r="M6" s="66" t="n">
        <x:f>Assumptions!$B$10</x:f>
        <x:v>0.08</x:v>
      </x:c>
      <x:c r="N6" s="66" t="n">
        <x:f>Assumptions!$B$11</x:f>
        <x:v>0.05</x:v>
      </x:c>
      <x:c r="O6" s="64" t="n">
        <x:f>(G6+H6)*J6*(1+K6+L6+M6+N6)</x:f>
        <x:v>2040.22</x:v>
      </x:c>
      <x:c r="P6" s="66" t="n">
        <x:f>Assumptions!$B$6</x:f>
        <x:v>0.35</x:v>
      </x:c>
      <x:c r="Q6" s="64" t="n">
        <x:f>IFERROR(O6/(1-P6),0)</x:f>
        <x:v>3138.7999999999997</x:v>
      </x:c>
      <x:c r="R6" s="66" t="n">
        <x:f>IFERROR(VLOOKUP(C6,Assumptions!$G$5:$H$9,2,TRUE),0)</x:f>
        <x:v>0</x:v>
      </x:c>
      <x:c r="S6" s="67" t="n">
        <x:v>0</x:v>
      </x:c>
      <x:c r="T6" s="64" t="n">
        <x:f>Q6*(1-R6)*(1+S6)</x:f>
        <x:v>3138.7999999999997</x:v>
      </x:c>
      <x:c r="U6" s="64" t="n">
        <x:f>C6*T6</x:f>
        <x:v>3138.7999999999997</x:v>
      </x:c>
    </x:row>
    <x:row r="7">
      <x:c r="A7" s="42" t="str">
        <x:v>QA capacity</x:v>
      </x:c>
      <x:c r="B7" s="42" t="str">
        <x:v>FTE-month</x:v>
      </x:c>
      <x:c r="C7" s="62" t="n">
        <x:v>1.5</x:v>
      </x:c>
      <x:c r="D7" s="62" t="n">
        <x:v>0.00625</x:v>
      </x:c>
      <x:c r="E7" s="63" t="str">
        <x:v>QA Analyst</x:v>
      </x:c>
      <x:c r="F7" s="64" t="n">
        <x:f>IFERROR(VLOOKUP(E7,Role_Rates!$A$5:$H$25,6,FALSE),0)</x:f>
        <x:v>7.375</x:v>
      </x:c>
      <x:c r="G7" s="64" t="n">
        <x:f>IFERROR(F7/D7,0)</x:f>
        <x:v>1180</x:v>
      </x:c>
      <x:c r="H7" s="65" t="n">
        <x:v>0</x:v>
      </x:c>
      <x:c r="I7" s="63" t="str">
        <x:v>Standard</x:v>
      </x:c>
      <x:c r="J7" s="42" t="n">
        <x:f>IFERROR(VLOOKUP(I7,Assumptions!$D$5:$E$8,2,FALSE),1)</x:f>
        <x:v>1</x:v>
      </x:c>
      <x:c r="K7" s="66" t="n">
        <x:f>Assumptions!$B$8</x:f>
        <x:v>0.15</x:v>
      </x:c>
      <x:c r="L7" s="66" t="n">
        <x:f>Assumptions!$B$9</x:f>
        <x:v>0.05</x:v>
      </x:c>
      <x:c r="M7" s="66" t="n">
        <x:f>Assumptions!$B$10</x:f>
        <x:v>0.08</x:v>
      </x:c>
      <x:c r="N7" s="66" t="n">
        <x:f>Assumptions!$B$11</x:f>
        <x:v>0.05</x:v>
      </x:c>
      <x:c r="O7" s="64" t="n">
        <x:f>(G7+H7)*J7*(1+K7+L7+M7+N7)</x:f>
        <x:v>1569.4</x:v>
      </x:c>
      <x:c r="P7" s="66" t="n">
        <x:f>Assumptions!$B$6</x:f>
        <x:v>0.35</x:v>
      </x:c>
      <x:c r="Q7" s="64" t="n">
        <x:f>IFERROR(O7/(1-P7),0)</x:f>
        <x:v>2414.4615384615386</x:v>
      </x:c>
      <x:c r="R7" s="66" t="n">
        <x:f>IFERROR(VLOOKUP(C7,Assumptions!$G$5:$H$9,2,TRUE),0)</x:f>
        <x:v>0</x:v>
      </x:c>
      <x:c r="S7" s="67" t="n">
        <x:v>0</x:v>
      </x:c>
      <x:c r="T7" s="64" t="n">
        <x:f>Q7*(1-R7)*(1+S7)</x:f>
        <x:v>2414.4615384615386</x:v>
      </x:c>
      <x:c r="U7" s="64" t="n">
        <x:f>C7*T7</x:f>
        <x:v>3621.6923076923076</x:v>
      </x:c>
    </x:row>
    <x:row r="8">
      <x:c r="A8" s="42" t="str">
        <x:v>Data engineering capacity</x:v>
      </x:c>
      <x:c r="B8" s="42" t="str">
        <x:v>FTE-month</x:v>
      </x:c>
      <x:c r="C8" s="62" t="n">
        <x:v>0.5</x:v>
      </x:c>
      <x:c r="D8" s="62" t="n">
        <x:v>0.006666666666666667</x:v>
      </x:c>
      <x:c r="E8" s="63" t="str">
        <x:v>Data Engineer</x:v>
      </x:c>
      <x:c r="F8" s="64" t="n">
        <x:f>IFERROR(VLOOKUP(E8,Role_Rates!$A$5:$H$25,6,FALSE),0)</x:f>
        <x:v>17.306666666666665</x:v>
      </x:c>
      <x:c r="G8" s="64" t="n">
        <x:f>IFERROR(F8/D8,0)</x:f>
        <x:v>2595.9999999999995</x:v>
      </x:c>
      <x:c r="H8" s="65" t="n">
        <x:v>0</x:v>
      </x:c>
      <x:c r="I8" s="63" t="str">
        <x:v>Standard</x:v>
      </x:c>
      <x:c r="J8" s="42" t="n">
        <x:f>IFERROR(VLOOKUP(I8,Assumptions!$D$5:$E$8,2,FALSE),1)</x:f>
        <x:v>1</x:v>
      </x:c>
      <x:c r="K8" s="66" t="n">
        <x:f>Assumptions!$B$8</x:f>
        <x:v>0.15</x:v>
      </x:c>
      <x:c r="L8" s="66" t="n">
        <x:f>Assumptions!$B$9</x:f>
        <x:v>0.05</x:v>
      </x:c>
      <x:c r="M8" s="66" t="n">
        <x:f>Assumptions!$B$10</x:f>
        <x:v>0.08</x:v>
      </x:c>
      <x:c r="N8" s="66" t="n">
        <x:f>Assumptions!$B$11</x:f>
        <x:v>0.05</x:v>
      </x:c>
      <x:c r="O8" s="64" t="n">
        <x:f>(G8+H8)*J8*(1+K8+L8+M8+N8)</x:f>
        <x:v>3452.6799999999994</x:v>
      </x:c>
      <x:c r="P8" s="66" t="n">
        <x:f>Assumptions!$B$6</x:f>
        <x:v>0.35</x:v>
      </x:c>
      <x:c r="Q8" s="64" t="n">
        <x:f>IFERROR(O8/(1-P8),0)</x:f>
        <x:v>5311.815384615384</x:v>
      </x:c>
      <x:c r="R8" s="66" t="n">
        <x:f>IFERROR(VLOOKUP(C8,Assumptions!$G$5:$H$9,2,TRUE),0)</x:f>
        <x:v>0</x:v>
      </x:c>
      <x:c r="S8" s="67" t="n">
        <x:v>0</x:v>
      </x:c>
      <x:c r="T8" s="64" t="n">
        <x:f>Q8*(1-R8)*(1+S8)</x:f>
        <x:v>5311.815384615384</x:v>
      </x:c>
      <x:c r="U8" s="64" t="n">
        <x:f>C8*T8</x:f>
        <x:v>2655.907692307692</x:v>
      </x:c>
    </x:row>
    <x:row r="9">
      <x:c r="A9" s="42" t="str">
        <x:v>Project management</x:v>
      </x:c>
      <x:c r="B9" s="42" t="str">
        <x:v>FTE-month</x:v>
      </x:c>
      <x:c r="C9" s="62" t="n">
        <x:v>0.5</x:v>
      </x:c>
      <x:c r="D9" s="62" t="n">
        <x:v>0.006666666666666667</x:v>
      </x:c>
      <x:c r="E9" s="63" t="str">
        <x:v>Project Manager</x:v>
      </x:c>
      <x:c r="F9" s="64" t="n">
        <x:f>IFERROR(VLOOKUP(E9,Role_Rates!$A$5:$H$25,6,FALSE),0)</x:f>
        <x:v>19.666666666666668</x:v>
      </x:c>
      <x:c r="G9" s="64" t="n">
        <x:f>IFERROR(F9/D9,0)</x:f>
        <x:v>2950</x:v>
      </x:c>
      <x:c r="H9" s="65" t="n">
        <x:v>0</x:v>
      </x:c>
      <x:c r="I9" s="63" t="str">
        <x:v>Standard</x:v>
      </x:c>
      <x:c r="J9" s="42" t="n">
        <x:f>IFERROR(VLOOKUP(I9,Assumptions!$D$5:$E$8,2,FALSE),1)</x:f>
        <x:v>1</x:v>
      </x:c>
      <x:c r="K9" s="66" t="n">
        <x:f>Assumptions!$B$8</x:f>
        <x:v>0.15</x:v>
      </x:c>
      <x:c r="L9" s="66" t="n">
        <x:f>Assumptions!$B$9</x:f>
        <x:v>0.05</x:v>
      </x:c>
      <x:c r="M9" s="66" t="n">
        <x:f>Assumptions!$B$10</x:f>
        <x:v>0.08</x:v>
      </x:c>
      <x:c r="N9" s="66" t="n">
        <x:f>Assumptions!$B$11</x:f>
        <x:v>0.05</x:v>
      </x:c>
      <x:c r="O9" s="64" t="n">
        <x:f>(G9+H9)*J9*(1+K9+L9+M9+N9)</x:f>
        <x:v>3923.5</x:v>
      </x:c>
      <x:c r="P9" s="66" t="n">
        <x:f>Assumptions!$B$6</x:f>
        <x:v>0.35</x:v>
      </x:c>
      <x:c r="Q9" s="64" t="n">
        <x:f>IFERROR(O9/(1-P9),0)</x:f>
        <x:v>6036.153846153846</x:v>
      </x:c>
      <x:c r="R9" s="66" t="n">
        <x:f>IFERROR(VLOOKUP(C9,Assumptions!$G$5:$H$9,2,TRUE),0)</x:f>
        <x:v>0</x:v>
      </x:c>
      <x:c r="S9" s="67" t="n">
        <x:v>0</x:v>
      </x:c>
      <x:c r="T9" s="64" t="n">
        <x:f>Q9*(1-R9)*(1+S9)</x:f>
        <x:v>6036.153846153846</x:v>
      </x:c>
      <x:c r="U9" s="64" t="n">
        <x:f>C9*T9</x:f>
        <x:v>3018.076923076923</x:v>
      </x:c>
    </x:row>
    <x:row r="10">
      <x:c r="A10" s="42" t="str">
        <x:v>After-hours / on-call support</x:v>
      </x:c>
      <x:c r="B10" s="42" t="str">
        <x:v>support-month</x:v>
      </x:c>
      <x:c r="C10" s="62" t="n">
        <x:v>1</x:v>
      </x:c>
      <x:c r="D10" s="62" t="n">
        <x:v>0.02</x:v>
      </x:c>
      <x:c r="E10" s="63" t="str">
        <x:v>Senior GIS Analyst</x:v>
      </x:c>
      <x:c r="F10" s="64" t="n">
        <x:f>IFERROR(VLOOKUP(E10,Role_Rates!$A$5:$H$25,6,FALSE),0)</x:f>
        <x:v>9.5875</x:v>
      </x:c>
      <x:c r="G10" s="64" t="n">
        <x:f>IFERROR(F10/D10,0)</x:f>
        <x:v>479.375</x:v>
      </x:c>
      <x:c r="H10" s="65" t="n">
        <x:v>50</x:v>
      </x:c>
      <x:c r="I10" s="63" t="str">
        <x:v>Medium</x:v>
      </x:c>
      <x:c r="J10" s="42" t="n">
        <x:f>IFERROR(VLOOKUP(I10,Assumptions!$D$5:$E$8,2,FALSE),1)</x:f>
        <x:v>1.25</x:v>
      </x:c>
      <x:c r="K10" s="66" t="n">
        <x:f>Assumptions!$B$8</x:f>
        <x:v>0.15</x:v>
      </x:c>
      <x:c r="L10" s="66" t="n">
        <x:f>Assumptions!$B$9</x:f>
        <x:v>0.05</x:v>
      </x:c>
      <x:c r="M10" s="66" t="n">
        <x:f>Assumptions!$B$10</x:f>
        <x:v>0.08</x:v>
      </x:c>
      <x:c r="N10" s="66" t="n">
        <x:f>Assumptions!$B$11</x:f>
        <x:v>0.05</x:v>
      </x:c>
      <x:c r="O10" s="64" t="n">
        <x:f>(G10+H10)*J10*(1+K10+L10+M10+N10)</x:f>
        <x:v>880.0859375</x:v>
      </x:c>
      <x:c r="P10" s="66" t="n">
        <x:f>Assumptions!$B$6</x:f>
        <x:v>0.35</x:v>
      </x:c>
      <x:c r="Q10" s="64" t="n">
        <x:f>IFERROR(O10/(1-P10),0)</x:f>
        <x:v>1353.9783653846152</x:v>
      </x:c>
      <x:c r="R10" s="66" t="n">
        <x:f>IFERROR(VLOOKUP(C10,Assumptions!$G$5:$H$9,2,TRUE),0)</x:f>
        <x:v>0</x:v>
      </x:c>
      <x:c r="S10" s="67" t="n">
        <x:v>0</x:v>
      </x:c>
      <x:c r="T10" s="64" t="n">
        <x:f>Q10*(1-R10)*(1+S10)</x:f>
        <x:v>1353.9783653846152</x:v>
      </x:c>
      <x:c r="U10" s="64" t="n">
        <x:f>C10*T10</x:f>
        <x:v>1353.9783653846152</x:v>
      </x:c>
    </x:row>
    <x:row r="11">
      <x:c r="A11" s="42" t="str">
        <x:v>Monthly reporting pack</x:v>
      </x:c>
      <x:c r="B11" s="42" t="str">
        <x:v>month</x:v>
      </x:c>
      <x:c r="C11" s="62" t="n">
        <x:v>12</x:v>
      </x:c>
      <x:c r="D11" s="62" t="n">
        <x:v>0.08</x:v>
      </x:c>
      <x:c r="E11" s="63" t="str">
        <x:v>Project Manager</x:v>
      </x:c>
      <x:c r="F11" s="64" t="n">
        <x:f>IFERROR(VLOOKUP(E11,Role_Rates!$A$5:$H$25,6,FALSE),0)</x:f>
        <x:v>19.666666666666668</x:v>
      </x:c>
      <x:c r="G11" s="64" t="n">
        <x:f>IFERROR(F11/D11,0)</x:f>
        <x:v>245.83333333333334</x:v>
      </x:c>
      <x:c r="H11" s="65" t="n">
        <x:v>0</x:v>
      </x:c>
      <x:c r="I11" s="63" t="str">
        <x:v>Standard</x:v>
      </x:c>
      <x:c r="J11" s="42" t="n">
        <x:f>IFERROR(VLOOKUP(I11,Assumptions!$D$5:$E$8,2,FALSE),1)</x:f>
        <x:v>1</x:v>
      </x:c>
      <x:c r="K11" s="66" t="n">
        <x:f>Assumptions!$B$8</x:f>
        <x:v>0.15</x:v>
      </x:c>
      <x:c r="L11" s="66" t="n">
        <x:f>Assumptions!$B$9</x:f>
        <x:v>0.05</x:v>
      </x:c>
      <x:c r="M11" s="66" t="n">
        <x:f>Assumptions!$B$10</x:f>
        <x:v>0.08</x:v>
      </x:c>
      <x:c r="N11" s="66" t="n">
        <x:f>Assumptions!$B$11</x:f>
        <x:v>0.05</x:v>
      </x:c>
      <x:c r="O11" s="64" t="n">
        <x:f>(G11+H11)*J11*(1+K11+L11+M11+N11)</x:f>
        <x:v>326.95833333333337</x:v>
      </x:c>
      <x:c r="P11" s="66" t="n">
        <x:f>Assumptions!$B$6</x:f>
        <x:v>0.35</x:v>
      </x:c>
      <x:c r="Q11" s="64" t="n">
        <x:f>IFERROR(O11/(1-P11),0)</x:f>
        <x:v>503.01282051282055</x:v>
      </x:c>
      <x:c r="R11" s="66" t="n">
        <x:f>IFERROR(VLOOKUP(C11,Assumptions!$G$5:$H$9,2,TRUE),0)</x:f>
        <x:v>0</x:v>
      </x:c>
      <x:c r="S11" s="67" t="n">
        <x:v>0</x:v>
      </x:c>
      <x:c r="T11" s="64" t="n">
        <x:f>Q11*(1-R11)*(1+S11)</x:f>
        <x:v>503.01282051282055</x:v>
      </x:c>
      <x:c r="U11" s="64" t="n">
        <x:f>C11*T11</x:f>
        <x:v>6036.153846153847</x:v>
      </x:c>
    </x:row>
    <x:row r="13">
      <x:c r="A13" s="45" t="str">
        <x:v>Calculated Project Sell Value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50" t="n">
        <x:f>MAX(SUM(U5:U11),Assumptions!$B$14)</x:f>
        <x:v>30689.68605769231</x:v>
      </x:c>
    </x:row>
    <x:row r="15" ht="28" customHeight="1">
      <x:c r="A15" s="34" t="str">
        <x:v>How to use: edit yellow input cells (Qty, Productivity, Role, Other Cost, Complexity, Rush %). All other rates are formula-driven from global assumptions and role costs.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</x:row>
  </x:sheetData>
  <x:mergeCells>
    <x:mergeCell ref="A1:U1"/>
    <x:mergeCell ref="A2:U2"/>
    <x:mergeCell ref="A13:T13"/>
    <x:mergeCell ref="A15:U15"/>
  </x:mergeCells>
  <x:conditionalFormatting sqref="U5:U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{539F8830-6417-B97E-DDA1-D10DDA5FCE25}</x14:id>
        </x:ext>
      </x:extLst>
    </x:cfRule>
  </x:conditionalFormatting>
  <x:dataValidations count="2">
    <x:dataValidation type="list" sqref="I5:I11">
      <x:formula1>"Simple,Standard,Medium,Complex"</x:formula1>
    </x:dataValidation>
    <x:dataValidation type="list" sqref="E5:E11">
      <x:formula1>"Data Operator,GIS Analyst,Senior GIS Analyst,QA Analyst,Navigation Editor,POI/Address Analyst,LiDAR Analyst,Photogrammetry Analyst,Remote Sensing Analyst,GIS Developer,Data Engineer,Cloud/DevOps Engineer,Project Manager,Field Crew Lead,Field Technician,Drone Pilot,Survey/GCP Technician"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9F8830-6417-B97E-DDA1-D10DDA5FCE25}">
            <x14:dataBar gradient="1">
              <x14:cfvo type="min"/>
              <x14:cfvo type="max"/>
              <x14:fillColor rgb="FFA02B93"/>
            </x14:dataBar>
          </x14:cfRule>
          <xm:sqref>U5:U50</xm:sqref>
        </x14:conditionalFormatting>
      </x14:conditionalFormattings>
    </x:ext>
  </x:extLst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22" hidden="0" customWidth="1"/>
    <x:col min="5" max="5" width="30" hidden="0" customWidth="1"/>
    <x:col min="6" max="6" width="55" hidden="0" customWidth="1"/>
    <x:col min="7" max="7" width="38" hidden="0" customWidth="1"/>
  </x:cols>
  <x:sheetData>
    <x:row r="1" ht="28" customHeight="1">
      <x:c r="A1" s="5" t="str">
        <x:v>Public Market / Unit-Model Benchmarks</x:v>
      </x:c>
      <x:c r="B1" s="5"/>
      <x:c r="C1" s="5"/>
      <x:c r="D1" s="5"/>
      <x:c r="E1" s="5"/>
      <x:c r="F1" s="5"/>
      <x:c r="G1" s="5"/>
    </x:row>
    <x:row r="2" ht="30" customHeight="1">
      <x:c r="A2" s="12" t="str">
        <x:v>Reference only — public examples are not JSAN recommended sell rates. Use them to validate unit choice and reasonableness.</x:v>
      </x:c>
      <x:c r="B2" s="12"/>
      <x:c r="C2" s="12"/>
      <x:c r="D2" s="12"/>
      <x:c r="E2" s="12"/>
      <x:c r="F2" s="12"/>
      <x:c r="G2" s="12"/>
    </x:row>
    <x:row r="4">
      <x:c r="A4" s="20" t="str">
        <x:v>Category</x:v>
      </x:c>
      <x:c r="B4" s="20" t="str">
        <x:v>Public Metric</x:v>
      </x:c>
      <x:c r="C4" s="20" t="str">
        <x:v>Indicative Public Example</x:v>
      </x:c>
      <x:c r="D4" s="20" t="str">
        <x:v>Geography / Context</x:v>
      </x:c>
      <x:c r="E4" s="20" t="str">
        <x:v>Use in JSAN Model</x:v>
      </x:c>
      <x:c r="F4" s="20" t="str">
        <x:v>Source URL</x:v>
      </x:c>
      <x:c r="G4" s="20" t="str">
        <x:v>Notes</x:v>
      </x:c>
    </x:row>
    <x:row r="5">
      <x:c r="A5" s="42" t="str">
        <x:v>Geocoding</x:v>
      </x:c>
      <x:c r="B5" s="42" t="str">
        <x:v>per 1,000 requests</x:v>
      </x:c>
      <x:c r="C5" s="42" t="str">
        <x:v>$1.50 / 1,000 after free cap</x:v>
      </x:c>
      <x:c r="D5" s="42" t="str">
        <x:v>Google Maps Platform India</x:v>
      </x:c>
      <x:c r="E5" s="42" t="str">
        <x:v>API pass-through cost</x:v>
      </x:c>
      <x:c r="F5" s="42" t="str">
        <x:v>https://developers.google.com/maps/billing-and-pricing/pricing-india</x:v>
      </x:c>
      <x:c r="G5" s="42" t="str">
        <x:v>Current public India pricing; confirm latest tier before quote.</x:v>
      </x:c>
    </x:row>
    <x:row r="6">
      <x:c r="A6" s="42" t="str">
        <x:v>Address validation</x:v>
      </x:c>
      <x:c r="B6" s="42" t="str">
        <x:v>per 1,000 requests</x:v>
      </x:c>
      <x:c r="C6" s="42" t="str">
        <x:v>$5.10 / 1,000 after free cap</x:v>
      </x:c>
      <x:c r="D6" s="42" t="str">
        <x:v>Google Maps Platform India</x:v>
      </x:c>
      <x:c r="E6" s="42" t="str">
        <x:v>API pass-through cost</x:v>
      </x:c>
      <x:c r="F6" s="42" t="str">
        <x:v>https://developers.google.com/maps/billing-and-pricing/pricing-india</x:v>
      </x:c>
      <x:c r="G6" s="42" t="str">
        <x:v>Use actual vendor rate and usage tier.</x:v>
      </x:c>
    </x:row>
    <x:row r="7">
      <x:c r="A7" s="42" t="str">
        <x:v>Drone photogrammetry</x:v>
      </x:c>
      <x:c r="B7" s="42" t="str">
        <x:v>per acre</x:v>
      </x:c>
      <x:c r="C7" s="42" t="str">
        <x:v>Public providers commonly quote per acre / lump sum</x:v>
      </x:c>
      <x:c r="D7" s="42" t="str">
        <x:v>India</x:v>
      </x:c>
      <x:c r="E7" s="42" t="str">
        <x:v>Drone_Survey / Photogrammetry_Ortho</x:v>
      </x:c>
      <x:c r="F7" s="42" t="str">
        <x:v>https://www.aeroyantra.com/blog/drone-survey-cost-india-2026</x:v>
      </x:c>
      <x:c r="G7" s="42" t="str">
        <x:v>Public provider guide; use only as external sanity check.</x:v>
      </x:c>
    </x:row>
    <x:row r="8">
      <x:c r="A8" s="42" t="str">
        <x:v>Drone LiDAR</x:v>
      </x:c>
      <x:c r="B8" s="42" t="str">
        <x:v>per acre</x:v>
      </x:c>
      <x:c r="C8" s="42" t="str">
        <x:v>Public providers commonly quote per acre</x:v>
      </x:c>
      <x:c r="D8" s="42" t="str">
        <x:v>India</x:v>
      </x:c>
      <x:c r="E8" s="42" t="str">
        <x:v>Drone_Survey</x:v>
      </x:c>
      <x:c r="F8" s="42" t="str">
        <x:v>https://www.aeroyantra.com/blog/drone-survey-cost-india-2026</x:v>
      </x:c>
      <x:c r="G8" s="42" t="str">
        <x:v>Sensor tier and point density materially affect price.</x:v>
      </x:c>
    </x:row>
    <x:row r="9">
      <x:c r="A9" s="42" t="str">
        <x:v>Corridor aerial mapping</x:v>
      </x:c>
      <x:c r="B9" s="42" t="str">
        <x:v>per km</x:v>
      </x:c>
      <x:c r="C9" s="42" t="str">
        <x:v>Public providers quote per km for roads/pipelines/rail</x:v>
      </x:c>
      <x:c r="D9" s="42" t="str">
        <x:v>India</x:v>
      </x:c>
      <x:c r="E9" s="42" t="str">
        <x:v>Drone_Survey / StreetView_Capture</x:v>
      </x:c>
      <x:c r="F9" s="42" t="str">
        <x:v>https://www.airotor.in/blog/drone-survey-cost-in-india-2026-per-acre-pricing-guide</x:v>
      </x:c>
      <x:c r="G9" s="42" t="str">
        <x:v>Useful validation of per-km model.</x:v>
      </x:c>
    </x:row>
    <x:row r="10">
      <x:c r="A10" s="42" t="str">
        <x:v>Mobile mapping / imagery equipment</x:v>
      </x:c>
      <x:c r="B10" s="42" t="str">
        <x:v>hour / mile</x:v>
      </x:c>
      <x:c r="C10" s="42" t="str">
        <x:v>Public rate schedules include hourly equipment and project-flight-mile rates</x:v>
      </x:c>
      <x:c r="D10" s="42" t="str">
        <x:v>US public contract</x:v>
      </x:c>
      <x:c r="E10" s="42" t="str">
        <x:v>StreetView_Capture / Field_Collection</x:v>
      </x:c>
      <x:c r="F10" s="42" t="str">
        <x:v>https://public.destinyhosted.com/wilcomindocs/2024/COM/20240319_1823/minutes/1717_64.33816_WSB-Contract_REDACTED.pdf</x:v>
      </x:c>
      <x:c r="G10" s="42" t="str">
        <x:v>Illustrates hourly/per-mile structures, not directly comparable rates.</x:v>
      </x:c>
    </x:row>
    <x:row r="11">
      <x:c r="A11" s="42" t="str">
        <x:v>Navigation map data</x:v>
      </x:c>
      <x:c r="B11" s="42" t="str">
        <x:v>road links / restrictions / signs</x:v>
      </x:c>
      <x:c r="C11" s="42" t="str">
        <x:v>Navigation databases store roads, speed limits, turn restrictions, signs, lanes, etc.</x:v>
      </x:c>
      <x:c r="D11" s="42" t="str">
        <x:v>Global</x:v>
      </x:c>
      <x:c r="E11" s="42" t="str">
        <x:v>Nav_RoadNetwork / Nav_Attributes</x:v>
      </x:c>
      <x:c r="F11" s="42" t="str">
        <x:v>https://docs.here.com/map-attributes/docs/maps-and-layers</x:v>
      </x:c>
      <x:c r="G11" s="42" t="str">
        <x:v>Supports feature/attribute unit definitions.</x:v>
      </x:c>
    </x:row>
    <x:row r="12">
      <x:c r="A12" s="42" t="str">
        <x:v>Navigation map data</x:v>
      </x:c>
      <x:c r="B12" s="42" t="str">
        <x:v>road geometry / one-way / signage / address points / POIs</x:v>
      </x:c>
      <x:c r="C12" s="42" t="str">
        <x:v>Map layers include geometry, restrictions, signs, addresses and POIs</x:v>
      </x:c>
      <x:c r="D12" s="42" t="str">
        <x:v>Global</x:v>
      </x:c>
      <x:c r="E12" s="42" t="str">
        <x:v>Nav_RoadNetwork / POI_PointAddress</x:v>
      </x:c>
      <x:c r="F12" s="42" t="str">
        <x:v>https://www.tomtom.com/newsroom/product-focus/how-data-licenses-differ-from-api-usage/</x:v>
      </x:c>
      <x:c r="G12" s="42" t="str">
        <x:v>Supports data-layer structure used in templates.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65" hidden="0" customWidth="1"/>
    <x:col min="4" max="4" width="14" hidden="0" customWidth="1"/>
  </x:cols>
  <x:sheetData>
    <x:row r="1" ht="28" customHeight="1">
      <x:c r="A1" s="5" t="str">
        <x:v>Research Sources</x:v>
      </x:c>
      <x:c r="B1" s="5"/>
      <x:c r="C1" s="5"/>
      <x:c r="D1" s="5"/>
    </x:row>
    <x:row r="2" ht="30" customHeight="1">
      <x:c r="A2" s="12" t="str">
        <x:v>Current public sources used to define unit models, navigation attributes and reference benchmarks.</x:v>
      </x:c>
      <x:c r="B2" s="12"/>
      <x:c r="C2" s="12"/>
      <x:c r="D2" s="12"/>
    </x:row>
    <x:row r="4">
      <x:c r="A4" s="20" t="str">
        <x:v>Source</x:v>
      </x:c>
      <x:c r="B4" s="20" t="str">
        <x:v>What it supports</x:v>
      </x:c>
      <x:c r="C4" s="20" t="str">
        <x:v>URL</x:v>
      </x:c>
      <x:c r="D4" s="20" t="str">
        <x:v>Accessed</x:v>
      </x:c>
    </x:row>
    <x:row r="5">
      <x:c r="A5" s="42" t="str">
        <x:v>HERE Map Attributes API</x:v>
      </x:c>
      <x:c r="B5" s="42" t="str">
        <x:v>Navigation feature categories: turn restrictions, speed limits, signs, tolls, truck restrictions, traffic patterns</x:v>
      </x:c>
      <x:c r="C5" s="42" t="str">
        <x:v>https://docs.here.com/map-attributes/docs/maps-and-layers</x:v>
      </x:c>
      <x:c r="D5" s="42" t="str">
        <x:v>2026-09-23</x:v>
      </x:c>
    </x:row>
    <x:row r="6">
      <x:c r="A6" s="42" t="str">
        <x:v>TomTom map data layers</x:v>
      </x:c>
      <x:c r="B6" s="42" t="str">
        <x:v>Road geometry, one-way, closures, turn restrictions, signage, lane info, speed limits, address points and POIs</x:v>
      </x:c>
      <x:c r="C6" s="42" t="str">
        <x:v>https://www.tomtom.com/newsroom/product-focus/how-data-licenses-differ-from-api-usage/</x:v>
      </x:c>
      <x:c r="D6" s="42" t="str">
        <x:v>2026-09-23</x:v>
      </x:c>
    </x:row>
    <x:row r="7">
      <x:c r="A7" s="42" t="str">
        <x:v>Google Maps Platform India pricing</x:v>
      </x:c>
      <x:c r="B7" s="42" t="str">
        <x:v>Per-request / per-1,000 pricing model for geocoding, places and address validation</x:v>
      </x:c>
      <x:c r="C7" s="42" t="str">
        <x:v>https://developers.google.com/maps/billing-and-pricing/pricing-india</x:v>
      </x:c>
      <x:c r="D7" s="42" t="str">
        <x:v>2026-09-23</x:v>
      </x:c>
    </x:row>
    <x:row r="8">
      <x:c r="A8" s="42" t="str">
        <x:v>Google Address Validation billing</x:v>
      </x:c>
      <x:c r="B8" s="42" t="str">
        <x:v>Address Validation is billed per request; supports request-based pricing model</x:v>
      </x:c>
      <x:c r="C8" s="42" t="str">
        <x:v>https://developers.google.com/maps/documentation/address-validation/usage-and-billing</x:v>
      </x:c>
      <x:c r="D8" s="42" t="str">
        <x:v>2026-09-23</x:v>
      </x:c>
    </x:row>
    <x:row r="9">
      <x:c r="A9" s="42" t="str">
        <x:v>Aeroyantra drone survey pricing</x:v>
      </x:c>
      <x:c r="B9" s="42" t="str">
        <x:v>Public examples of per-acre, mobilization and corridor pricing structures</x:v>
      </x:c>
      <x:c r="C9" s="42" t="str">
        <x:v>https://www.aeroyantra.com/blog/drone-survey-cost-india-2026</x:v>
      </x:c>
      <x:c r="D9" s="42" t="str">
        <x:v>2026-09-23</x:v>
      </x:c>
    </x:row>
    <x:row r="10">
      <x:c r="A10" s="42" t="str">
        <x:v>AiRotor drone pricing guide</x:v>
      </x:c>
      <x:c r="B10" s="42" t="str">
        <x:v>Public examples of per-acre and per-km corridor pricing structures</x:v>
      </x:c>
      <x:c r="C10" s="42" t="str">
        <x:v>https://www.airotor.in/blog/drone-survey-cost-in-india-2026-per-acre-pricing-guide</x:v>
      </x:c>
      <x:c r="D10" s="42" t="str">
        <x:v>2026-09-23</x:v>
      </x:c>
    </x:row>
    <x:row r="11">
      <x:c r="A11" s="42" t="str">
        <x:v>Williamson County geospatial rate schedule</x:v>
      </x:c>
      <x:c r="B11" s="42" t="str">
        <x:v>Public contract examples of hourly geospatial equipment and per-mile mapping rates</x:v>
      </x:c>
      <x:c r="C11" s="42" t="str">
        <x:v>https://public.destinyhosted.com/wilcomindocs/2024/COM/20240319_1823/minutes/1717_64.33816_WSB-Contract_REDACTED.pdf</x:v>
      </x:c>
      <x:c r="D11" s="42" t="str">
        <x:v>2026-09-23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34" hidden="0" customWidth="1"/>
  </x:cols>
  <x:sheetData>
    <x:row r="1" ht="28" customHeight="1">
      <x:c r="A1" s="5" t="str">
        <x:v>Scenario Comparison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Compare hourly, FTE and unit-based commercial models for the same project.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Scenario</x:v>
      </x:c>
      <x:c r="B4" s="20" t="str">
        <x:v>Model</x:v>
      </x:c>
      <x:c r="C4" s="20" t="str">
        <x:v>Quantity</x:v>
      </x:c>
      <x:c r="D4" s="20" t="str">
        <x:v>Unit</x:v>
      </x:c>
      <x:c r="E4" s="20" t="str">
        <x:v>Unit Rate</x:v>
      </x:c>
      <x:c r="F4" s="20" t="str">
        <x:v>Total</x:v>
      </x:c>
      <x:c r="G4" s="20" t="str">
        <x:v>Gross Margin</x:v>
      </x:c>
      <x:c r="H4" s="20" t="str">
        <x:v>Decision Note</x:v>
      </x:c>
    </x:row>
    <x:row r="5">
      <x:c r="A5" t="str">
        <x:v>A</x:v>
      </x:c>
      <x:c r="B5" t="str">
        <x:v>Hourly</x:v>
      </x:c>
      <x:c r="C5" s="26" t="n">
        <x:v>500</x:v>
      </x:c>
      <x:c r="D5" s="26" t="str">
        <x:v>hours</x:v>
      </x:c>
      <x:c r="E5" s="38" t="n">
        <x:v>15</x:v>
      </x:c>
      <x:c r="F5" s="40" t="n">
        <x:f>C5*E5</x:f>
        <x:v>7500</x:v>
      </x:c>
      <x:c r="G5" s="60" t="n">
        <x:v>0.35</x:v>
      </x:c>
      <x:c r="H5" t="str">
        <x:v>Best for unknown scope</x:v>
      </x:c>
    </x:row>
    <x:row r="6">
      <x:c r="A6" t="str">
        <x:v>B</x:v>
      </x:c>
      <x:c r="B6" t="str">
        <x:v>FTE</x:v>
      </x:c>
      <x:c r="C6" s="26" t="n">
        <x:v>4</x:v>
      </x:c>
      <x:c r="D6" s="26" t="str">
        <x:v>FTE-month</x:v>
      </x:c>
      <x:c r="E6" s="38" t="n">
        <x:v>2200</x:v>
      </x:c>
      <x:c r="F6" s="40" t="n">
        <x:f>C6*E6</x:f>
        <x:v>8800</x:v>
      </x:c>
      <x:c r="G6" s="60" t="n">
        <x:v>0.35</x:v>
      </x:c>
      <x:c r="H6" t="str">
        <x:v>Best for steady monthly capacity</x:v>
      </x:c>
    </x:row>
    <x:row r="7">
      <x:c r="A7" t="str">
        <x:v>C</x:v>
      </x:c>
      <x:c r="B7" t="str">
        <x:v>Per road-km</x:v>
      </x:c>
      <x:c r="C7" s="26" t="n">
        <x:v>1000</x:v>
      </x:c>
      <x:c r="D7" s="26" t="str">
        <x:v>road-km</x:v>
      </x:c>
      <x:c r="E7" s="38" t="n">
        <x:v>12</x:v>
      </x:c>
      <x:c r="F7" s="40" t="n">
        <x:f>C7*E7</x:f>
        <x:v>12000</x:v>
      </x:c>
      <x:c r="G7" s="60" t="n">
        <x:v>0.35</x:v>
      </x:c>
      <x:c r="H7" t="str">
        <x:v>Best for stable navigation throughput</x:v>
      </x:c>
    </x:row>
    <x:row r="8">
      <x:c r="A8" t="str">
        <x:v>D</x:v>
      </x:c>
      <x:c r="B8" t="str">
        <x:v>Per feature</x:v>
      </x:c>
      <x:c r="C8" s="26" t="n">
        <x:v>10000</x:v>
      </x:c>
      <x:c r="D8" s="26" t="str">
        <x:v>features</x:v>
      </x:c>
      <x:c r="E8" s="38" t="n">
        <x:v>0.85</x:v>
      </x:c>
      <x:c r="F8" s="40" t="n">
        <x:f>C8*E8</x:f>
        <x:v>8500</x:v>
      </x:c>
      <x:c r="G8" s="60" t="n">
        <x:v>0.35</x:v>
      </x:c>
      <x:c r="H8" t="str">
        <x:v>Best for repeatable extraction</x:v>
      </x:c>
    </x:row>
    <x:row r="9">
      <x:c r="A9" t="str">
        <x:v>E</x:v>
      </x:c>
      <x:c r="B9" t="str">
        <x:v>Per sq-km</x:v>
      </x:c>
      <x:c r="C9" s="26" t="n">
        <x:v>500</x:v>
      </x:c>
      <x:c r="D9" s="26" t="str">
        <x:v>sq-km</x:v>
      </x:c>
      <x:c r="E9" s="38" t="n">
        <x:v>20</x:v>
      </x:c>
      <x:c r="F9" s="40" t="n">
        <x:f>C9*E9</x:f>
        <x:v>10000</x:v>
      </x:c>
      <x:c r="G9" s="60" t="n">
        <x:v>0.35</x:v>
      </x:c>
      <x:c r="H9" t="str">
        <x:v>Best for area-based imagery/RS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14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  <x:col min="11" max="11" width="28" hidden="0" customWidth="1"/>
    <x:col min="12" max="12" width="28" hidden="0" customWidth="1"/>
  </x:cols>
  <x:sheetData>
    <x:row r="1" ht="28" customHeight="1">
      <x:c r="A1" s="5" t="str">
        <x:v>Bid Builder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Combine multiple GIS workstreams into one customer quote. Input line items and unit sell rates from detailed model sheets.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20" t="str">
        <x:v>Line</x:v>
      </x:c>
      <x:c r="B4" s="20" t="str">
        <x:v>Workstream</x:v>
      </x:c>
      <x:c r="C4" s="20" t="str">
        <x:v>Description</x:v>
      </x:c>
      <x:c r="D4" s="20" t="str">
        <x:v>UOM</x:v>
      </x:c>
      <x:c r="E4" s="20" t="str">
        <x:v>Qty</x:v>
      </x:c>
      <x:c r="F4" s="20" t="str">
        <x:v>Sell/Unit</x:v>
      </x:c>
      <x:c r="G4" s="20" t="str">
        <x:v>Revenue</x:v>
      </x:c>
      <x:c r="H4" s="20" t="str">
        <x:v>Direct/Other Cost</x:v>
      </x:c>
      <x:c r="I4" s="20" t="str">
        <x:v>Estimated Cost</x:v>
      </x:c>
      <x:c r="J4" s="20" t="str">
        <x:v>GM %</x:v>
      </x:c>
      <x:c r="K4" s="20" t="str">
        <x:v>Customer Note</x:v>
      </x:c>
      <x:c r="L4" s="20" t="str">
        <x:v>Internal Note</x:v>
      </x:c>
    </x:row>
    <x:row r="5">
      <x:c r="A5" t="n">
        <x:v>1</x:v>
      </x:c>
      <x:c r="B5" s="26" t="str"/>
      <x:c r="C5" s="26" t="str"/>
      <x:c r="D5" s="26" t="str"/>
      <x:c r="E5" s="26" t="n">
        <x:v>0</x:v>
      </x:c>
      <x:c r="F5" s="38" t="n">
        <x:v>0</x:v>
      </x:c>
      <x:c r="G5" s="40" t="n">
        <x:f>E5*F5</x:f>
        <x:v>0</x:v>
      </x:c>
      <x:c r="H5" s="38" t="n">
        <x:v>0</x:v>
      </x:c>
      <x:c r="I5" s="40" t="n">
        <x:f>H5</x:f>
        <x:v>0</x:v>
      </x:c>
      <x:c r="J5" s="60" t="n">
        <x:f>IFERROR((G5-I5)/G5,0)</x:f>
        <x:v>0</x:v>
      </x:c>
      <x:c r="K5" t="str"/>
      <x:c r="L5" t="str"/>
    </x:row>
    <x:row r="6">
      <x:c r="A6" t="n">
        <x:v>2</x:v>
      </x:c>
      <x:c r="B6" s="26" t="str"/>
      <x:c r="C6" s="26" t="str"/>
      <x:c r="D6" s="26" t="str"/>
      <x:c r="E6" s="26" t="n">
        <x:v>0</x:v>
      </x:c>
      <x:c r="F6" s="38" t="n">
        <x:v>0</x:v>
      </x:c>
      <x:c r="G6" s="40" t="n">
        <x:f>E6*F6</x:f>
        <x:v>0</x:v>
      </x:c>
      <x:c r="H6" s="38" t="n">
        <x:v>0</x:v>
      </x:c>
      <x:c r="I6" s="40" t="n">
        <x:f>H6</x:f>
        <x:v>0</x:v>
      </x:c>
      <x:c r="J6" s="60" t="n">
        <x:f>IFERROR((G6-I6)/G6,0)</x:f>
        <x:v>0</x:v>
      </x:c>
      <x:c r="K6" t="str"/>
      <x:c r="L6" t="str"/>
    </x:row>
    <x:row r="7">
      <x:c r="A7" t="n">
        <x:v>3</x:v>
      </x:c>
      <x:c r="B7" s="26" t="str"/>
      <x:c r="C7" s="26" t="str"/>
      <x:c r="D7" s="26" t="str"/>
      <x:c r="E7" s="26" t="n">
        <x:v>0</x:v>
      </x:c>
      <x:c r="F7" s="38" t="n">
        <x:v>0</x:v>
      </x:c>
      <x:c r="G7" s="40" t="n">
        <x:f>E7*F7</x:f>
        <x:v>0</x:v>
      </x:c>
      <x:c r="H7" s="38" t="n">
        <x:v>0</x:v>
      </x:c>
      <x:c r="I7" s="40" t="n">
        <x:f>H7</x:f>
        <x:v>0</x:v>
      </x:c>
      <x:c r="J7" s="60" t="n">
        <x:f>IFERROR((G7-I7)/G7,0)</x:f>
        <x:v>0</x:v>
      </x:c>
      <x:c r="K7" t="str"/>
      <x:c r="L7" t="str"/>
    </x:row>
    <x:row r="8">
      <x:c r="A8" t="n">
        <x:v>4</x:v>
      </x:c>
      <x:c r="B8" s="26" t="str"/>
      <x:c r="C8" s="26" t="str"/>
      <x:c r="D8" s="26" t="str"/>
      <x:c r="E8" s="26" t="n">
        <x:v>0</x:v>
      </x:c>
      <x:c r="F8" s="38" t="n">
        <x:v>0</x:v>
      </x:c>
      <x:c r="G8" s="40" t="n">
        <x:f>E8*F8</x:f>
        <x:v>0</x:v>
      </x:c>
      <x:c r="H8" s="38" t="n">
        <x:v>0</x:v>
      </x:c>
      <x:c r="I8" s="40" t="n">
        <x:f>H8</x:f>
        <x:v>0</x:v>
      </x:c>
      <x:c r="J8" s="60" t="n">
        <x:f>IFERROR((G8-I8)/G8,0)</x:f>
        <x:v>0</x:v>
      </x:c>
      <x:c r="K8" t="str"/>
      <x:c r="L8" t="str"/>
    </x:row>
    <x:row r="9">
      <x:c r="A9" t="n">
        <x:v>5</x:v>
      </x:c>
      <x:c r="B9" s="26" t="str"/>
      <x:c r="C9" s="26" t="str"/>
      <x:c r="D9" s="26" t="str"/>
      <x:c r="E9" s="26" t="n">
        <x:v>0</x:v>
      </x:c>
      <x:c r="F9" s="38" t="n">
        <x:v>0</x:v>
      </x:c>
      <x:c r="G9" s="40" t="n">
        <x:f>E9*F9</x:f>
        <x:v>0</x:v>
      </x:c>
      <x:c r="H9" s="38" t="n">
        <x:v>0</x:v>
      </x:c>
      <x:c r="I9" s="40" t="n">
        <x:f>H9</x:f>
        <x:v>0</x:v>
      </x:c>
      <x:c r="J9" s="60" t="n">
        <x:f>IFERROR((G9-I9)/G9,0)</x:f>
        <x:v>0</x:v>
      </x:c>
      <x:c r="K9" t="str"/>
      <x:c r="L9" t="str"/>
    </x:row>
    <x:row r="10">
      <x:c r="A10" t="n">
        <x:v>6</x:v>
      </x:c>
      <x:c r="B10" s="26" t="str"/>
      <x:c r="C10" s="26" t="str"/>
      <x:c r="D10" s="26" t="str"/>
      <x:c r="E10" s="26" t="n">
        <x:v>0</x:v>
      </x:c>
      <x:c r="F10" s="38" t="n">
        <x:v>0</x:v>
      </x:c>
      <x:c r="G10" s="40" t="n">
        <x:f>E10*F10</x:f>
        <x:v>0</x:v>
      </x:c>
      <x:c r="H10" s="38" t="n">
        <x:v>0</x:v>
      </x:c>
      <x:c r="I10" s="40" t="n">
        <x:f>H10</x:f>
        <x:v>0</x:v>
      </x:c>
      <x:c r="J10" s="60" t="n">
        <x:f>IFERROR((G10-I10)/G10,0)</x:f>
        <x:v>0</x:v>
      </x:c>
      <x:c r="K10" t="str"/>
      <x:c r="L10" t="str"/>
    </x:row>
    <x:row r="11">
      <x:c r="A11" t="n">
        <x:v>7</x:v>
      </x:c>
      <x:c r="B11" s="26" t="str"/>
      <x:c r="C11" s="26" t="str"/>
      <x:c r="D11" s="26" t="str"/>
      <x:c r="E11" s="26" t="n">
        <x:v>0</x:v>
      </x:c>
      <x:c r="F11" s="38" t="n">
        <x:v>0</x:v>
      </x:c>
      <x:c r="G11" s="40" t="n">
        <x:f>E11*F11</x:f>
        <x:v>0</x:v>
      </x:c>
      <x:c r="H11" s="38" t="n">
        <x:v>0</x:v>
      </x:c>
      <x:c r="I11" s="40" t="n">
        <x:f>H11</x:f>
        <x:v>0</x:v>
      </x:c>
      <x:c r="J11" s="60" t="n">
        <x:f>IFERROR((G11-I11)/G11,0)</x:f>
        <x:v>0</x:v>
      </x:c>
      <x:c r="K11" t="str"/>
      <x:c r="L11" t="str"/>
    </x:row>
    <x:row r="12">
      <x:c r="A12" t="n">
        <x:v>8</x:v>
      </x:c>
      <x:c r="B12" s="26" t="str"/>
      <x:c r="C12" s="26" t="str"/>
      <x:c r="D12" s="26" t="str"/>
      <x:c r="E12" s="26" t="n">
        <x:v>0</x:v>
      </x:c>
      <x:c r="F12" s="38" t="n">
        <x:v>0</x:v>
      </x:c>
      <x:c r="G12" s="40" t="n">
        <x:f>E12*F12</x:f>
        <x:v>0</x:v>
      </x:c>
      <x:c r="H12" s="38" t="n">
        <x:v>0</x:v>
      </x:c>
      <x:c r="I12" s="40" t="n">
        <x:f>H12</x:f>
        <x:v>0</x:v>
      </x:c>
      <x:c r="J12" s="60" t="n">
        <x:f>IFERROR((G12-I12)/G12,0)</x:f>
        <x:v>0</x:v>
      </x:c>
      <x:c r="K12" t="str"/>
      <x:c r="L12" t="str"/>
    </x:row>
    <x:row r="13">
      <x:c r="A13" t="n">
        <x:v>9</x:v>
      </x:c>
      <x:c r="B13" s="26" t="str"/>
      <x:c r="C13" s="26" t="str"/>
      <x:c r="D13" s="26" t="str"/>
      <x:c r="E13" s="26" t="n">
        <x:v>0</x:v>
      </x:c>
      <x:c r="F13" s="38" t="n">
        <x:v>0</x:v>
      </x:c>
      <x:c r="G13" s="40" t="n">
        <x:f>E13*F13</x:f>
        <x:v>0</x:v>
      </x:c>
      <x:c r="H13" s="38" t="n">
        <x:v>0</x:v>
      </x:c>
      <x:c r="I13" s="40" t="n">
        <x:f>H13</x:f>
        <x:v>0</x:v>
      </x:c>
      <x:c r="J13" s="60" t="n">
        <x:f>IFERROR((G13-I13)/G13,0)</x:f>
        <x:v>0</x:v>
      </x:c>
      <x:c r="K13" t="str"/>
      <x:c r="L13" t="str"/>
    </x:row>
    <x:row r="14">
      <x:c r="A14" t="n">
        <x:v>10</x:v>
      </x:c>
      <x:c r="B14" s="26" t="str"/>
      <x:c r="C14" s="26" t="str"/>
      <x:c r="D14" s="26" t="str"/>
      <x:c r="E14" s="26" t="n">
        <x:v>0</x:v>
      </x:c>
      <x:c r="F14" s="38" t="n">
        <x:v>0</x:v>
      </x:c>
      <x:c r="G14" s="40" t="n">
        <x:f>E14*F14</x:f>
        <x:v>0</x:v>
      </x:c>
      <x:c r="H14" s="38" t="n">
        <x:v>0</x:v>
      </x:c>
      <x:c r="I14" s="40" t="n">
        <x:f>H14</x:f>
        <x:v>0</x:v>
      </x:c>
      <x:c r="J14" s="60" t="n">
        <x:f>IFERROR((G14-I14)/G14,0)</x:f>
        <x:v>0</x:v>
      </x:c>
      <x:c r="K14" t="str"/>
      <x:c r="L14" t="str"/>
    </x:row>
    <x:row r="15">
      <x:c r="A15" t="n">
        <x:v>11</x:v>
      </x:c>
      <x:c r="B15" s="26" t="str"/>
      <x:c r="C15" s="26" t="str"/>
      <x:c r="D15" s="26" t="str"/>
      <x:c r="E15" s="26" t="n">
        <x:v>0</x:v>
      </x:c>
      <x:c r="F15" s="38" t="n">
        <x:v>0</x:v>
      </x:c>
      <x:c r="G15" s="40" t="n">
        <x:f>E15*F15</x:f>
        <x:v>0</x:v>
      </x:c>
      <x:c r="H15" s="38" t="n">
        <x:v>0</x:v>
      </x:c>
      <x:c r="I15" s="40" t="n">
        <x:f>H15</x:f>
        <x:v>0</x:v>
      </x:c>
      <x:c r="J15" s="60" t="n">
        <x:f>IFERROR((G15-I15)/G15,0)</x:f>
        <x:v>0</x:v>
      </x:c>
      <x:c r="K15" t="str"/>
      <x:c r="L15" t="str"/>
    </x:row>
    <x:row r="16">
      <x:c r="A16" t="n">
        <x:v>12</x:v>
      </x:c>
      <x:c r="B16" s="26" t="str"/>
      <x:c r="C16" s="26" t="str"/>
      <x:c r="D16" s="26" t="str"/>
      <x:c r="E16" s="26" t="n">
        <x:v>0</x:v>
      </x:c>
      <x:c r="F16" s="38" t="n">
        <x:v>0</x:v>
      </x:c>
      <x:c r="G16" s="40" t="n">
        <x:f>E16*F16</x:f>
        <x:v>0</x:v>
      </x:c>
      <x:c r="H16" s="38" t="n">
        <x:v>0</x:v>
      </x:c>
      <x:c r="I16" s="40" t="n">
        <x:f>H16</x:f>
        <x:v>0</x:v>
      </x:c>
      <x:c r="J16" s="60" t="n">
        <x:f>IFERROR((G16-I16)/G16,0)</x:f>
        <x:v>0</x:v>
      </x:c>
      <x:c r="K16" t="str"/>
      <x:c r="L16" t="str"/>
    </x:row>
    <x:row r="17">
      <x:c r="A17" t="n">
        <x:v>13</x:v>
      </x:c>
      <x:c r="B17" s="26" t="str"/>
      <x:c r="C17" s="26" t="str"/>
      <x:c r="D17" s="26" t="str"/>
      <x:c r="E17" s="26" t="n">
        <x:v>0</x:v>
      </x:c>
      <x:c r="F17" s="38" t="n">
        <x:v>0</x:v>
      </x:c>
      <x:c r="G17" s="40" t="n">
        <x:f>E17*F17</x:f>
        <x:v>0</x:v>
      </x:c>
      <x:c r="H17" s="38" t="n">
        <x:v>0</x:v>
      </x:c>
      <x:c r="I17" s="40" t="n">
        <x:f>H17</x:f>
        <x:v>0</x:v>
      </x:c>
      <x:c r="J17" s="60" t="n">
        <x:f>IFERROR((G17-I17)/G17,0)</x:f>
        <x:v>0</x:v>
      </x:c>
      <x:c r="K17" t="str"/>
      <x:c r="L17" t="str"/>
    </x:row>
    <x:row r="18">
      <x:c r="A18" t="n">
        <x:v>14</x:v>
      </x:c>
      <x:c r="B18" s="26" t="str"/>
      <x:c r="C18" s="26" t="str"/>
      <x:c r="D18" s="26" t="str"/>
      <x:c r="E18" s="26" t="n">
        <x:v>0</x:v>
      </x:c>
      <x:c r="F18" s="38" t="n">
        <x:v>0</x:v>
      </x:c>
      <x:c r="G18" s="40" t="n">
        <x:f>E18*F18</x:f>
        <x:v>0</x:v>
      </x:c>
      <x:c r="H18" s="38" t="n">
        <x:v>0</x:v>
      </x:c>
      <x:c r="I18" s="40" t="n">
        <x:f>H18</x:f>
        <x:v>0</x:v>
      </x:c>
      <x:c r="J18" s="60" t="n">
        <x:f>IFERROR((G18-I18)/G18,0)</x:f>
        <x:v>0</x:v>
      </x:c>
      <x:c r="K18" t="str"/>
      <x:c r="L18" t="str"/>
    </x:row>
    <x:row r="19">
      <x:c r="A19" t="n">
        <x:v>15</x:v>
      </x:c>
      <x:c r="B19" s="26" t="str"/>
      <x:c r="C19" s="26" t="str"/>
      <x:c r="D19" s="26" t="str"/>
      <x:c r="E19" s="26" t="n">
        <x:v>0</x:v>
      </x:c>
      <x:c r="F19" s="38" t="n">
        <x:v>0</x:v>
      </x:c>
      <x:c r="G19" s="40" t="n">
        <x:f>E19*F19</x:f>
        <x:v>0</x:v>
      </x:c>
      <x:c r="H19" s="38" t="n">
        <x:v>0</x:v>
      </x:c>
      <x:c r="I19" s="40" t="n">
        <x:f>H19</x:f>
        <x:v>0</x:v>
      </x:c>
      <x:c r="J19" s="60" t="n">
        <x:f>IFERROR((G19-I19)/G19,0)</x:f>
        <x:v>0</x:v>
      </x:c>
      <x:c r="K19" t="str"/>
      <x:c r="L19" t="str"/>
    </x:row>
    <x:row r="20">
      <x:c r="A20" t="n">
        <x:v>16</x:v>
      </x:c>
      <x:c r="B20" s="26" t="str"/>
      <x:c r="C20" s="26" t="str"/>
      <x:c r="D20" s="26" t="str"/>
      <x:c r="E20" s="26" t="n">
        <x:v>0</x:v>
      </x:c>
      <x:c r="F20" s="38" t="n">
        <x:v>0</x:v>
      </x:c>
      <x:c r="G20" s="40" t="n">
        <x:f>E20*F20</x:f>
        <x:v>0</x:v>
      </x:c>
      <x:c r="H20" s="38" t="n">
        <x:v>0</x:v>
      </x:c>
      <x:c r="I20" s="40" t="n">
        <x:f>H20</x:f>
        <x:v>0</x:v>
      </x:c>
      <x:c r="J20" s="60" t="n">
        <x:f>IFERROR((G20-I20)/G20,0)</x:f>
        <x:v>0</x:v>
      </x:c>
      <x:c r="K20" t="str"/>
      <x:c r="L20" t="str"/>
    </x:row>
    <x:row r="21">
      <x:c r="A21" t="n">
        <x:v>17</x:v>
      </x:c>
      <x:c r="B21" s="26" t="str"/>
      <x:c r="C21" s="26" t="str"/>
      <x:c r="D21" s="26" t="str"/>
      <x:c r="E21" s="26" t="n">
        <x:v>0</x:v>
      </x:c>
      <x:c r="F21" s="38" t="n">
        <x:v>0</x:v>
      </x:c>
      <x:c r="G21" s="40" t="n">
        <x:f>E21*F21</x:f>
        <x:v>0</x:v>
      </x:c>
      <x:c r="H21" s="38" t="n">
        <x:v>0</x:v>
      </x:c>
      <x:c r="I21" s="40" t="n">
        <x:f>H21</x:f>
        <x:v>0</x:v>
      </x:c>
      <x:c r="J21" s="60" t="n">
        <x:f>IFERROR((G21-I21)/G21,0)</x:f>
        <x:v>0</x:v>
      </x:c>
      <x:c r="K21" t="str"/>
      <x:c r="L21" t="str"/>
    </x:row>
    <x:row r="22">
      <x:c r="A22" t="n">
        <x:v>18</x:v>
      </x:c>
      <x:c r="B22" s="26" t="str"/>
      <x:c r="C22" s="26" t="str"/>
      <x:c r="D22" s="26" t="str"/>
      <x:c r="E22" s="26" t="n">
        <x:v>0</x:v>
      </x:c>
      <x:c r="F22" s="38" t="n">
        <x:v>0</x:v>
      </x:c>
      <x:c r="G22" s="40" t="n">
        <x:f>E22*F22</x:f>
        <x:v>0</x:v>
      </x:c>
      <x:c r="H22" s="38" t="n">
        <x:v>0</x:v>
      </x:c>
      <x:c r="I22" s="40" t="n">
        <x:f>H22</x:f>
        <x:v>0</x:v>
      </x:c>
      <x:c r="J22" s="60" t="n">
        <x:f>IFERROR((G22-I22)/G22,0)</x:f>
        <x:v>0</x:v>
      </x:c>
      <x:c r="K22" t="str"/>
      <x:c r="L22" t="str"/>
    </x:row>
    <x:row r="23">
      <x:c r="A23" t="n">
        <x:v>19</x:v>
      </x:c>
      <x:c r="B23" s="26" t="str"/>
      <x:c r="C23" s="26" t="str"/>
      <x:c r="D23" s="26" t="str"/>
      <x:c r="E23" s="26" t="n">
        <x:v>0</x:v>
      </x:c>
      <x:c r="F23" s="38" t="n">
        <x:v>0</x:v>
      </x:c>
      <x:c r="G23" s="40" t="n">
        <x:f>E23*F23</x:f>
        <x:v>0</x:v>
      </x:c>
      <x:c r="H23" s="38" t="n">
        <x:v>0</x:v>
      </x:c>
      <x:c r="I23" s="40" t="n">
        <x:f>H23</x:f>
        <x:v>0</x:v>
      </x:c>
      <x:c r="J23" s="60" t="n">
        <x:f>IFERROR((G23-I23)/G23,0)</x:f>
        <x:v>0</x:v>
      </x:c>
      <x:c r="K23" t="str"/>
      <x:c r="L23" t="str"/>
    </x:row>
    <x:row r="24">
      <x:c r="A24" t="n">
        <x:v>20</x:v>
      </x:c>
      <x:c r="B24" s="26" t="str"/>
      <x:c r="C24" s="26" t="str"/>
      <x:c r="D24" s="26" t="str"/>
      <x:c r="E24" s="26" t="n">
        <x:v>0</x:v>
      </x:c>
      <x:c r="F24" s="38" t="n">
        <x:v>0</x:v>
      </x:c>
      <x:c r="G24" s="40" t="n">
        <x:f>E24*F24</x:f>
        <x:v>0</x:v>
      </x:c>
      <x:c r="H24" s="38" t="n">
        <x:v>0</x:v>
      </x:c>
      <x:c r="I24" s="40" t="n">
        <x:f>H24</x:f>
        <x:v>0</x:v>
      </x:c>
      <x:c r="J24" s="60" t="n">
        <x:f>IFERROR((G24-I24)/G24,0)</x:f>
        <x:v>0</x:v>
      </x:c>
      <x:c r="K24" t="str"/>
      <x:c r="L24" t="str"/>
    </x:row>
    <x:row r="26">
      <x:c r="A26" s="74" t="str">
        <x:v>Quote Total</x:v>
      </x:c>
      <x:c r="B26" s="74"/>
      <x:c r="C26" s="74"/>
      <x:c r="D26" s="74"/>
      <x:c r="E26" s="74"/>
      <x:c r="F26" s="74"/>
      <x:c r="G26" s="76" t="n">
        <x:f>SUM(G5:G24)</x:f>
        <x:v>0</x:v>
      </x:c>
      <x:c r="H26" s="76"/>
      <x:c r="I26" s="76" t="n">
        <x:f>SUM(I5:I24)</x:f>
        <x:v>0</x:v>
      </x:c>
      <x:c r="J26" s="78" t="n">
        <x:f>IFERROR((G26-I26)/G26,0)</x:f>
        <x:v>0</x:v>
      </x:c>
      <x:c r="K26" s="74"/>
      <x:c r="L26" s="74"/>
    </x:row>
  </x:sheetData>
  <x:mergeCells>
    <x:mergeCell ref="A1:L1"/>
    <x:mergeCell ref="A2:L2"/>
    <x:mergeCell ref="A26:F26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8" hidden="0" customWidth="1"/>
    <x:col min="5" max="5" width="34" hidden="0" customWidth="1"/>
    <x:col min="6" max="6" width="38" hidden="0" customWidth="1"/>
  </x:cols>
  <x:sheetData>
    <x:row r="1" ht="28" customHeight="1">
      <x:c r="A1" s="5" t="str">
        <x:v>Customer-Facing Rate Card Builder</x:v>
      </x:c>
      <x:c r="B1" s="5"/>
      <x:c r="C1" s="5"/>
      <x:c r="D1" s="5"/>
      <x:c r="E1" s="5"/>
      <x:c r="F1" s="5"/>
    </x:row>
    <x:row r="2" ht="30" customHeight="1">
      <x:c r="A2" s="12" t="str">
        <x:v>Use as a clean external summary. Do not expose internal cost columns from detailed templates.</x:v>
      </x:c>
      <x:c r="B2" s="12"/>
      <x:c r="C2" s="12"/>
      <x:c r="D2" s="12"/>
      <x:c r="E2" s="12"/>
      <x:c r="F2" s="12"/>
    </x:row>
    <x:row r="4">
      <x:c r="A4" s="20" t="str">
        <x:v>Service Family</x:v>
      </x:c>
      <x:c r="B4" s="20" t="str">
        <x:v>Pricing Unit</x:v>
      </x:c>
      <x:c r="C4" s="20" t="str">
        <x:v>From</x:v>
      </x:c>
      <x:c r="D4" s="20" t="str">
        <x:v>Indicative Rate</x:v>
      </x:c>
      <x:c r="E4" s="20" t="str">
        <x:v>Commercial Notes</x:v>
      </x:c>
      <x:c r="F4" s="20" t="str">
        <x:v>Customer Scope Notes</x:v>
      </x:c>
    </x:row>
    <x:row r="5">
      <x:c r="A5" s="42" t="str">
        <x:v>Navigation road network</x:v>
      </x:c>
      <x:c r="B5" s="42" t="str">
        <x:v>road-km</x:v>
      </x:c>
      <x:c r="C5" s="42" t="str">
        <x:v>Nav_RoadNetwork</x:v>
      </x:c>
      <x:c r="D5" s="63" t="str"/>
      <x:c r="E5" s="42" t="str">
        <x:v>Volume/complexity tiers recommended</x:v>
      </x:c>
      <x:c r="F5" s="42" t="str">
        <x:v>Geometry/topology/network updates</x:v>
      </x:c>
    </x:row>
    <x:row r="6">
      <x:c r="A6" s="42" t="str">
        <x:v>Navigation attributes</x:v>
      </x:c>
      <x:c r="B6" s="42" t="str">
        <x:v>feature / restriction</x:v>
      </x:c>
      <x:c r="C6" s="42" t="str">
        <x:v>Nav_Attributes</x:v>
      </x:c>
      <x:c r="D6" s="63" t="str"/>
      <x:c r="E6" s="42" t="str">
        <x:v>Different rates by attribute type</x:v>
      </x:c>
      <x:c r="F6" s="42" t="str">
        <x:v>Speed/turn/sign/lane/toll/access</x:v>
      </x:c>
    </x:row>
    <x:row r="7">
      <x:c r="A7" s="42" t="str">
        <x:v>POI / Point Address</x:v>
      </x:c>
      <x:c r="B7" s="42" t="str">
        <x:v>verified record</x:v>
      </x:c>
      <x:c r="C7" s="42" t="str">
        <x:v>POI_PointAddress</x:v>
      </x:c>
      <x:c r="D7" s="63" t="str"/>
      <x:c r="E7" s="42" t="str">
        <x:v>Refresh cadence can be separate</x:v>
      </x:c>
      <x:c r="F7" s="42" t="str">
        <x:v>Discovery/verification/refresh</x:v>
      </x:c>
    </x:row>
    <x:row r="8">
      <x:c r="A8" s="42" t="str">
        <x:v>Street-level imagery capture</x:v>
      </x:c>
      <x:c r="B8" s="42" t="str">
        <x:v>road-km</x:v>
      </x:c>
      <x:c r="C8" s="42" t="str">
        <x:v>StreetView_Capture</x:v>
      </x:c>
      <x:c r="D8" s="63" t="str"/>
      <x:c r="E8" s="42" t="str">
        <x:v>Mobilization separate</x:v>
      </x:c>
      <x:c r="F8" s="42" t="str">
        <x:v>Capture + evidence</x:v>
      </x:c>
    </x:row>
    <x:row r="9">
      <x:c r="A9" s="42" t="str">
        <x:v>Street-level imagery processing</x:v>
      </x:c>
      <x:c r="B9" s="42" t="str">
        <x:v>panorama / road-km</x:v>
      </x:c>
      <x:c r="C9" s="42" t="str">
        <x:v>StreetView_Process</x:v>
      </x:c>
      <x:c r="D9" s="63" t="str"/>
      <x:c r="E9" s="42" t="str">
        <x:v>Separate ingestion and QA</x:v>
      </x:c>
      <x:c r="F9" s="42" t="str">
        <x:v>Processing/privacy/metadata</x:v>
      </x:c>
    </x:row>
    <x:row r="10">
      <x:c r="A10" s="42" t="str">
        <x:v>Trail / road verification</x:v>
      </x:c>
      <x:c r="B10" s="42" t="str">
        <x:v>route-km + feature</x:v>
      </x:c>
      <x:c r="C10" s="42" t="str">
        <x:v>Trails_FieldVerify</x:v>
      </x:c>
      <x:c r="D10" s="63" t="str"/>
      <x:c r="E10" s="42" t="str">
        <x:v>Hybrid metric preferred</x:v>
      </x:c>
      <x:c r="F10" s="42" t="str">
        <x:v>Field evidence + GIS delivery</x:v>
      </x:c>
    </x:row>
    <x:row r="11">
      <x:c r="A11" s="42" t="str">
        <x:v>LiDAR processing</x:v>
      </x:c>
      <x:c r="B11" s="42" t="str">
        <x:v>sq-km / tile</x:v>
      </x:c>
      <x:c r="C11" s="42" t="str">
        <x:v>LiDAR_Processing</x:v>
      </x:c>
      <x:c r="D11" s="63" t="str"/>
      <x:c r="E11" s="42" t="str">
        <x:v>Point density/class schema drive complexity</x:v>
      </x:c>
      <x:c r="F11" s="42" t="str">
        <x:v>Classification/DTM/DSM</x:v>
      </x:c>
    </x:row>
    <x:row r="12">
      <x:c r="A12" s="42" t="str">
        <x:v>LiDAR feature extraction</x:v>
      </x:c>
      <x:c r="B12" s="42" t="str">
        <x:v>feature</x:v>
      </x:c>
      <x:c r="C12" s="42" t="str">
        <x:v>LiDAR_Feature</x:v>
      </x:c>
      <x:c r="D12" s="63" t="str"/>
      <x:c r="E12" s="42" t="str">
        <x:v>Feature-specific rate card</x:v>
      </x:c>
      <x:c r="F12" s="42" t="str">
        <x:v>Asset extraction/evidence</x:v>
      </x:c>
    </x:row>
    <x:row r="13">
      <x:c r="A13" s="42" t="str">
        <x:v>Pavement intelligence</x:v>
      </x:c>
      <x:c r="B13" s="42" t="str">
        <x:v>lane-km / feature</x:v>
      </x:c>
      <x:c r="C13" s="42" t="str">
        <x:v>Pavement_Intel</x:v>
      </x:c>
      <x:c r="D13" s="63" t="str"/>
      <x:c r="E13" s="42" t="str">
        <x:v>Complexity by defect type</x:v>
      </x:c>
      <x:c r="F13" s="42" t="str">
        <x:v>Rut/crack/pothole/roughness</x:v>
      </x:c>
    </x:row>
    <x:row r="14">
      <x:c r="A14" s="42" t="str">
        <x:v>Photogrammetry / Ortho</x:v>
      </x:c>
      <x:c r="B14" s="42" t="str">
        <x:v>sq-km</x:v>
      </x:c>
      <x:c r="C14" s="42" t="str">
        <x:v>Photogrammetry_Ortho</x:v>
      </x:c>
      <x:c r="D14" s="63" t="str"/>
      <x:c r="E14" s="42" t="str">
        <x:v>GCP/accuracy separate</x:v>
      </x:c>
      <x:c r="F14" s="42" t="str">
        <x:v>Ortho/DSM/DTM/mesh</x:v>
      </x:c>
    </x:row>
    <x:row r="15">
      <x:c r="A15" s="42" t="str">
        <x:v>Drone survey</x:v>
      </x:c>
      <x:c r="B15" s="42" t="str">
        <x:v>acre / corridor-km</x:v>
      </x:c>
      <x:c r="C15" s="42" t="str">
        <x:v>Drone_Survey</x:v>
      </x:c>
      <x:c r="D15" s="63" t="str"/>
      <x:c r="E15" s="42" t="str">
        <x:v>Mobilization and reflight conditions</x:v>
      </x:c>
      <x:c r="F15" s="42" t="str">
        <x:v>Field UAV acquisition</x:v>
      </x:c>
    </x:row>
    <x:row r="16">
      <x:c r="A16" s="42" t="str">
        <x:v>Remote sensing</x:v>
      </x:c>
      <x:c r="B16" s="42" t="str">
        <x:v>sq-km / scene</x:v>
      </x:c>
      <x:c r="C16" s="42" t="str">
        <x:v>Satellite_RS</x:v>
      </x:c>
      <x:c r="D16" s="63" t="str"/>
      <x:c r="E16" s="42" t="str">
        <x:v>Imagery license pass-through</x:v>
      </x:c>
      <x:c r="F16" s="42" t="str">
        <x:v>Classification/change</x:v>
      </x:c>
    </x:row>
    <x:row r="17">
      <x:c r="A17" s="42" t="str">
        <x:v>Cadastral / parcel</x:v>
      </x:c>
      <x:c r="B17" s="42" t="str">
        <x:v>parcel</x:v>
      </x:c>
      <x:c r="C17" s="42" t="str">
        <x:v>Cadastral_Parcel</x:v>
      </x:c>
      <x:c r="D17" s="63" t="str"/>
      <x:c r="E17" s="42" t="str">
        <x:v>Density/complexity tiers</x:v>
      </x:c>
      <x:c r="F17" s="42" t="str">
        <x:v>Digitization/topology/linkage</x:v>
      </x:c>
    </x:row>
    <x:row r="18">
      <x:c r="A18" s="42" t="str">
        <x:v>General GIS digitization</x:v>
      </x:c>
      <x:c r="B18" s="42" t="str">
        <x:v>feature</x:v>
      </x:c>
      <x:c r="C18" s="42" t="str">
        <x:v>GIS_Digitization</x:v>
      </x:c>
      <x:c r="D18" s="63" t="str"/>
      <x:c r="E18" s="42" t="str">
        <x:v>Separate point/line/polygon</x:v>
      </x:c>
      <x:c r="F18" s="42" t="str">
        <x:v>Digitization/attribute/QA</x:v>
      </x:c>
    </x:row>
    <x:row r="19">
      <x:c r="A19" s="42" t="str">
        <x:v>Geocoding / validation</x:v>
      </x:c>
      <x:c r="B19" s="42" t="str">
        <x:v>1,000 records / record</x:v>
      </x:c>
      <x:c r="C19" s="42" t="str">
        <x:v>Geocode_Validation</x:v>
      </x:c>
      <x:c r="D19" s="63" t="str"/>
      <x:c r="E19" s="42" t="str">
        <x:v>API cost + manual exception rate</x:v>
      </x:c>
      <x:c r="F19" s="42" t="str">
        <x:v>Automated + manual review</x:v>
      </x:c>
    </x:row>
    <x:row r="20">
      <x:c r="A20" s="42" t="str">
        <x:v>Cloud GIS hosting</x:v>
      </x:c>
      <x:c r="B20" s="42" t="str">
        <x:v>TB-month / user-month</x:v>
      </x:c>
      <x:c r="C20" s="42" t="str">
        <x:v>GIS_Cloud_Hosting</x:v>
      </x:c>
      <x:c r="D20" s="63" t="str"/>
      <x:c r="E20" s="42" t="str">
        <x:v>Pass-through usage caps</x:v>
      </x:c>
      <x:c r="F20" s="42" t="str">
        <x:v>Storage/compute/egress/support</x:v>
      </x:c>
    </x:row>
    <x:row r="21">
      <x:c r="A21" s="42" t="str">
        <x:v>Managed GIS service</x:v>
      </x:c>
      <x:c r="B21" s="42" t="str">
        <x:v>FTE-month</x:v>
      </x:c>
      <x:c r="C21" s="42" t="str">
        <x:v>Managed_Service</x:v>
      </x:c>
      <x:c r="D21" s="63" t="str"/>
      <x:c r="E21" s="42" t="str">
        <x:v>Role mix and SLA</x:v>
      </x:c>
      <x:c r="F21" s="42" t="str">
        <x:v>Production/QA/PM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3" hidden="0" customWidth="1"/>
    <x:col min="4" max="4" width="28" hidden="0" customWidth="1"/>
    <x:col min="5" max="5" width="20" hidden="0" customWidth="1"/>
    <x:col min="6" max="6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5" t="str">
        <x:v>GIS Pricing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High-level view of the pricing library and key commercial assumptions.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20" t="str">
        <x:v>KPI</x:v>
      </x:c>
      <x:c r="B4" s="20" t="str">
        <x:v>Value</x:v>
      </x:c>
      <x:c r="D4" s="20" t="str">
        <x:v>Template</x:v>
      </x:c>
      <x:c r="E4" s="20" t="str">
        <x:v>Default Scenario Sell</x:v>
      </x:c>
      <x:c r="F4" s="20" t="str">
        <x:v>Category</x:v>
      </x:c>
    </x:row>
    <x:row r="5">
      <x:c r="A5" t="str">
        <x:v>Target GM</x:v>
      </x:c>
      <x:c r="B5" s="80" t="n">
        <x:f>Assumptions!B6</x:f>
        <x:v>0.35</x:v>
      </x:c>
      <x:c r="D5" t="str">
        <x:v>Nav_RoadNetwork</x:v>
      </x:c>
      <x:c r="E5" s="84" t="n">
        <x:f>MAX(SUM('Nav_RoadNetwork'!U5:U50),Assumptions!$B$14)</x:f>
        <x:v>199838.5060105381</x:v>
      </x:c>
      <x:c r="F5" t="str">
        <x:v>Navigation</x:v>
      </x:c>
    </x:row>
    <x:row r="6">
      <x:c r="A6" t="str">
        <x:v>Minimum Project Fee</x:v>
      </x:c>
      <x:c r="B6" s="82" t="n">
        <x:f>Assumptions!B14</x:f>
        <x:v>1500</x:v>
      </x:c>
      <x:c r="D6" t="str">
        <x:v>Nav_Attributes</x:v>
      </x:c>
      <x:c r="E6" s="84" t="n">
        <x:f>MAX(SUM('Nav_Attributes'!U5:U50),Assumptions!$B$14)</x:f>
        <x:v>63039.899159979606</x:v>
      </x:c>
      <x:c r="F6" t="str">
        <x:v>Navigation</x:v>
      </x:c>
    </x:row>
    <x:row r="7">
      <x:c r="A7" t="str">
        <x:v>Default QA %</x:v>
      </x:c>
      <x:c r="B7" s="80" t="n">
        <x:f>Assumptions!B8</x:f>
        <x:v>0.15</x:v>
      </x:c>
      <x:c r="D7" t="str">
        <x:v>POI_PointAddress</x:v>
      </x:c>
      <x:c r="E7" s="84" t="n">
        <x:f>MAX(SUM('POI_PointAddress'!U5:U50),Assumptions!$B$14)</x:f>
        <x:v>53133.057696848286</x:v>
      </x:c>
      <x:c r="F7" t="str">
        <x:v>Navigation/Data</x:v>
      </x:c>
    </x:row>
    <x:row r="8">
      <x:c r="A8" t="str">
        <x:v>Default Rework %</x:v>
      </x:c>
      <x:c r="B8" s="80" t="n">
        <x:f>Assumptions!B9</x:f>
        <x:v>0.05</x:v>
      </x:c>
      <x:c r="D8" t="str">
        <x:v>StreetView_Capture</x:v>
      </x:c>
      <x:c r="E8" s="84" t="n">
        <x:f>MAX(SUM('StreetView_Capture'!U5:U50),Assumptions!$B$14)</x:f>
        <x:v>96842.2875</x:v>
      </x:c>
      <x:c r="F8" t="str">
        <x:v>Imagery</x:v>
      </x:c>
    </x:row>
    <x:row r="9">
      <x:c r="A9" t="str">
        <x:v>Model Templates</x:v>
      </x:c>
      <x:c r="B9" t="n">
        <x:v>23</x:v>
      </x:c>
      <x:c r="D9" t="str">
        <x:v>StreetView_Process</x:v>
      </x:c>
      <x:c r="E9" s="84" t="n">
        <x:f>MAX(SUM('StreetView_Process'!U5:U50),Assumptions!$B$14)</x:f>
        <x:v>92979.30500635729</x:v>
      </x:c>
      <x:c r="F9" t="str">
        <x:v>Imagery</x:v>
      </x:c>
    </x:row>
    <x:row r="10">
      <x:c r="D10" t="str">
        <x:v>Trails_FieldVerify</x:v>
      </x:c>
      <x:c r="E10" s="84" t="n">
        <x:f>MAX(SUM('Trails_FieldVerify'!U5:U50),Assumptions!$B$14)</x:f>
        <x:v>61612.07096153846</x:v>
      </x:c>
      <x:c r="F10" t="str">
        <x:v>Field</x:v>
      </x:c>
    </x:row>
    <x:row r="11">
      <x:c r="D11" t="str">
        <x:v>LiDAR_Processing</x:v>
      </x:c>
      <x:c r="E11" s="84" t="n">
        <x:f>MAX(SUM('LiDAR_Processing'!U5:U50),Assumptions!$B$14)</x:f>
        <x:v>279072.2005555555</x:v>
      </x:c>
      <x:c r="F11" t="str">
        <x:v>LiDAR</x:v>
      </x:c>
    </x:row>
    <x:row r="12">
      <x:c r="D12" t="str">
        <x:v>LiDAR_Feature</x:v>
      </x:c>
      <x:c r="E12" s="84" t="n">
        <x:f>MAX(SUM('LiDAR_Feature'!U5:U50),Assumptions!$B$14)</x:f>
        <x:v>106123.93462820511</x:v>
      </x:c>
      <x:c r="F12" t="str">
        <x:v>LiDAR</x:v>
      </x:c>
    </x:row>
    <x:row r="13">
      <x:c r="D13" t="str">
        <x:v>Pavement_Intel</x:v>
      </x:c>
      <x:c r="E13" s="84" t="n">
        <x:f>MAX(SUM('Pavement_Intel'!U5:U50),Assumptions!$B$14)</x:f>
        <x:v>26246.328701923077</x:v>
      </x:c>
      <x:c r="F13" t="str">
        <x:v>Road Intelligence</x:v>
      </x:c>
    </x:row>
    <x:row r="14">
      <x:c r="D14" t="str">
        <x:v>Photogrammetry_Ortho</x:v>
      </x:c>
      <x:c r="E14" s="84" t="n">
        <x:f>MAX(SUM('Photogrammetry_Ortho'!U5:U50),Assumptions!$B$14)</x:f>
        <x:v>33324.725721153845</x:v>
      </x:c>
      <x:c r="F14" t="str">
        <x:v>Imagery</x:v>
      </x:c>
    </x:row>
    <x:row r="15">
      <x:c r="D15" t="str">
        <x:v>Drone_Survey</x:v>
      </x:c>
      <x:c r="E15" s="84" t="n">
        <x:f>MAX(SUM('Drone_Survey'!U5:U50),Assumptions!$B$14)</x:f>
        <x:v>12038.091452991452</x:v>
      </x:c>
      <x:c r="F15" t="str">
        <x:v>Drone</x:v>
      </x:c>
    </x:row>
    <x:row r="16">
      <x:c r="D16" t="str">
        <x:v>Satellite_RS</x:v>
      </x:c>
      <x:c r="E16" s="84" t="n">
        <x:f>MAX(SUM('Satellite_RS'!U5:U50),Assumptions!$B$14)</x:f>
        <x:v>67173.25921474358</x:v>
      </x:c>
      <x:c r="F16" t="str">
        <x:v>Remote Sensing</x:v>
      </x:c>
    </x:row>
    <x:row r="17">
      <x:c r="D17" t="str">
        <x:v>Cadastral_Parcel</x:v>
      </x:c>
      <x:c r="E17" s="84" t="n">
        <x:f>MAX(SUM('Cadastral_Parcel'!U5:U50),Assumptions!$B$14)</x:f>
        <x:v>46290.93852097902</x:v>
      </x:c>
      <x:c r="F17" t="str">
        <x:v>GIS</x:v>
      </x:c>
    </x:row>
    <x:row r="18">
      <x:c r="D18" t="str">
        <x:v>GIS_Digitization</x:v>
      </x:c>
      <x:c r="E18" s="84" t="n">
        <x:f>MAX(SUM('GIS_Digitization'!U5:U50),Assumptions!$B$14)</x:f>
        <x:v>40237.58620920745</x:v>
      </x:c>
      <x:c r="F18" t="str">
        <x:v>GIS</x:v>
      </x:c>
    </x:row>
    <x:row r="19">
      <x:c r="D19" t="str">
        <x:v>GIS_Cloud_Hosting</x:v>
      </x:c>
      <x:c r="E19" s="84" t="n">
        <x:f>MAX(SUM('GIS_Cloud_Hosting'!U5:U50),Assumptions!$B$14)</x:f>
        <x:v>194535.55271328677</x:v>
      </x:c>
      <x:c r="F19" t="str">
        <x:v>Cloud</x:v>
      </x:c>
    </x:row>
    <x:row r="20">
      <x:c r="D20" t="str">
        <x:v>Managed_Service</x:v>
      </x:c>
      <x:c r="E20" s="84" t="n">
        <x:f>MAX(SUM('Managed_Service'!U5:U50),Assumptions!$B$14)</x:f>
        <x:v>61379.37211538462</x:v>
      </x:c>
      <x:c r="F20" t="str">
        <x:v>Managed Service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544ab34471cc466b"/>
</x:worksheet>
</file>